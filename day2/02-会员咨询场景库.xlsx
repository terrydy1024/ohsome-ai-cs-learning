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e331da911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6a860699b9f474c"/>
    <x:sheet xmlns:r="http://schemas.openxmlformats.org/officeDocument/2006/relationships" name="评分规则" sheetId="2" r:id="R94b3789633704912"/>
    <x:sheet xmlns:r="http://schemas.openxmlformats.org/officeDocument/2006/relationships" name="场景总表" sheetId="3" r:id="R120aed7ab0a9421a"/>
    <x:sheet xmlns:r="http://schemas.openxmlformats.org/officeDocument/2006/relationships" name="原始问题样例" sheetId="4" r:id="Reeb8a6cc732e490a"/>
    <x:sheet xmlns:r="http://schemas.openxmlformats.org/officeDocument/2006/relationships" name="场景地图" sheetId="5" r:id="Re3d71e0bc2e549e7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K1" authorId="0">
      <x:text>
        <x:r>
          <x:t>模拟数据，仅用于练习优先级。真实项目应从客服会话、工单、站内搜索和投诉数据中计算。</x:t>
        </x:r>
      </x:text>
    </x:comment>
    <x:comment ref="Q1" authorId="0">
      <x:text>
        <x:r>
          <x:t>由评分规则中的权重自动计算。</x:t>
        </x:r>
      </x:text>
    </x:comment>
    <x:comment ref="S1" authorId="0">
      <x:text>
        <x:r>
          <x:t>产品最终判断，可覆盖模型建议；需要记录覆盖原因。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8"/>
      <x:color rgb="FFFFFFFF"/>
      <x:name val="Microsoft YaHei"/>
    </x:font>
    <x:font>
      <x:b/>
      <x:color rgb="FF172033"/>
    </x:font>
    <x:font>
      <x:b/>
      <x:sz val="16"/>
      <x:color rgb="FFFFFFFF"/>
    </x:font>
    <x:font>
      <x:b/>
      <x:color rgb="FFFFFFFF"/>
    </x:font>
    <x:font>
      <x:color rgb="FF0000FF"/>
    </x:font>
    <x:font>
      <x:b/>
    </x:font>
    <x:font>
      <x:b/>
      <x:color rgb="FFB42318"/>
    </x:font>
    <x:font>
      <x:color rgb="FF000000"/>
    </x:font>
    <x:font>
      <x:color rgb="FF666666"/>
    </x:font>
    <x:font>
      <x:b/>
      <x:color rgb="FFFF7A00"/>
    </x:font>
    <x:font>
      <x:b/>
      <x:color rgb="FF000000"/>
    </x:font>
    <x:font>
      <x:color rgb="FF64748B"/>
    </x:font>
    <x:font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3E8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FF1F0"/>
      </x:patternFill>
    </x:fill>
    <x:fill>
      <x:patternFill patternType="solid">
        <x:fgColor rgb="FFECFDF3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2" borderId="0" xfId="0" applyAlignment="1">
      <x:alignment vertical="center"/>
    </x:xf>
    <x:xf numFmtId="0" fontId="2" fillId="3" borderId="0" xfId="0"/>
    <x:xf numFmtId="0" fontId="0" fillId="4" borderId="0" xfId="0" applyAlignment="1">
      <x:alignment vertical="top" wrapText="1"/>
    </x:xf>
    <x:xf numFmtId="0" fontId="2" fillId="5" borderId="0" xfId="0"/>
    <x:xf numFmtId="0" fontId="0" fillId="5" borderId="0" xfId="0" applyAlignment="1">
      <x:alignment vertical="top" wrapText="1"/>
    </x:xf>
    <x:xf numFmtId="0" fontId="3" fillId="2" borderId="0" xfId="0"/>
    <x:xf numFmtId="0" fontId="4" fillId="6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9" fontId="5" fillId="0" borderId="0" xfId="0" applyAlignment="1">
      <x:alignment vertical="top" wrapText="1"/>
    </x:xf>
    <x:xf numFmtId="0" fontId="6" fillId="0" borderId="0" xfId="0"/>
    <x:xf numFmtId="0" fontId="0" fillId="0" borderId="0" xfId="0" applyAlignment="1">
      <x:alignment wrapText="1"/>
    </x:xf>
    <x:xf numFmtId="0" fontId="7" fillId="0" borderId="0" xfId="0"/>
    <x:xf numFmtId="0" fontId="0" fillId="5" borderId="0" xfId="0" applyAlignment="1">
      <x:alignment wrapText="1"/>
    </x:xf>
    <x:xf numFmtId="0" fontId="4" fillId="2" borderId="0" xfId="0" applyAlignment="1">
      <x:alignment horizontal="center" vertical="center" wrapText="1"/>
    </x:xf>
    <x:xf numFmtId="0" fontId="9" fillId="7" borderId="1" xfId="0" applyAlignment="1">
      <x:alignment vertical="top" wrapText="1"/>
    </x:xf>
    <x:xf numFmtId="0" fontId="5" fillId="7" borderId="1" xfId="0" applyAlignment="1">
      <x:alignment vertical="top" wrapText="1"/>
    </x:xf>
    <x:xf numFmtId="2" fontId="11" fillId="7" borderId="1" xfId="0" applyAlignment="1">
      <x:alignment vertical="top" wrapText="1"/>
    </x:xf>
    <x:xf numFmtId="0" fontId="11" fillId="7" borderId="1" xfId="0" applyAlignment="1">
      <x:alignment vertical="top" wrapText="1"/>
    </x:xf>
    <x:xf numFmtId="0" fontId="10" fillId="7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9" fillId="8" borderId="1" xfId="0" applyAlignment="1">
      <x:alignment vertical="top" wrapText="1"/>
    </x:xf>
    <x:xf numFmtId="0" fontId="5" fillId="8" borderId="1" xfId="0" applyAlignment="1">
      <x:alignment vertical="top" wrapText="1"/>
    </x:xf>
    <x:xf numFmtId="2" fontId="11" fillId="8" borderId="1" xfId="0" applyAlignment="1">
      <x:alignment vertical="top" wrapText="1"/>
    </x:xf>
    <x:xf numFmtId="0" fontId="11" fillId="8" borderId="1" xfId="0" applyAlignment="1">
      <x:alignment vertical="top" wrapText="1"/>
    </x:xf>
    <x:xf numFmtId="0" fontId="10" fillId="8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9" fillId="9" borderId="1" xfId="0" applyAlignment="1">
      <x:alignment vertical="top" wrapText="1"/>
    </x:xf>
    <x:xf numFmtId="0" fontId="5" fillId="9" borderId="1" xfId="0" applyAlignment="1">
      <x:alignment vertical="top" wrapText="1"/>
    </x:xf>
    <x:xf numFmtId="2" fontId="11" fillId="9" borderId="1" xfId="0" applyAlignment="1">
      <x:alignment vertical="top" wrapText="1"/>
    </x:xf>
    <x:xf numFmtId="0" fontId="11" fillId="9" borderId="1" xfId="0" applyAlignment="1">
      <x:alignment vertical="top" wrapText="1"/>
    </x:xf>
    <x:xf numFmtId="0" fontId="10" fillId="9" borderId="1" xfId="0" applyAlignment="1">
      <x:alignment vertical="top" wrapText="1"/>
    </x:xf>
    <x:xf numFmtId="0" fontId="0" fillId="9" borderId="1" xfId="0" applyAlignment="1">
      <x:alignment vertical="top" wrapText="1"/>
    </x:xf>
    <x:xf numFmtId="0" fontId="9" fillId="5" borderId="1" xfId="0" applyAlignment="1">
      <x:alignment vertical="top" wrapText="1"/>
    </x:xf>
    <x:xf numFmtId="0" fontId="5" fillId="5" borderId="1" xfId="0" applyAlignment="1">
      <x:alignment vertical="top" wrapText="1"/>
    </x:xf>
    <x:xf numFmtId="2" fontId="11" fillId="5" borderId="1" xfId="0" applyAlignment="1">
      <x:alignment vertical="top" wrapText="1"/>
    </x:xf>
    <x:xf numFmtId="0" fontId="11" fillId="5" borderId="1" xfId="0" applyAlignment="1">
      <x:alignment vertical="top" wrapText="1"/>
    </x:xf>
    <x:xf numFmtId="0" fontId="10" fillId="5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4" fillId="2" borderId="0" xfId="0" applyAlignment="1">
      <x:alignment horizontal="center" vertical="center"/>
    </x:xf>
    <x:xf numFmtId="0" fontId="12" fillId="0" borderId="1" xfId="0" applyAlignment="1">
      <x:alignment vertical="top" wrapText="1"/>
    </x:xf>
    <x:xf numFmtId="0" fontId="13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4" fillId="6" borderId="0" xfId="0" applyAlignment="1">
      <x:alignment horizontal="center" vertical="center" wrapText="1"/>
    </x:xf>
    <x:xf numFmtId="0" fontId="8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e1a23e10f4bb6" /><Relationship Type="http://schemas.openxmlformats.org/officeDocument/2006/relationships/theme" Target="/xl/theme/theme1.xml" Id="R052fb77a350e4917" /><Relationship Type="http://schemas.openxmlformats.org/officeDocument/2006/relationships/sharedStrings" Target="/xl/sharedStrings.xml" Id="Rc68c0e1fcbec4d94" /><Relationship Type="http://schemas.openxmlformats.org/officeDocument/2006/relationships/worksheet" Target="/xl/worksheets/sheet1.xml" Id="R36a860699b9f474c" /><Relationship Type="http://schemas.openxmlformats.org/officeDocument/2006/relationships/worksheet" Target="/xl/worksheets/sheet2.xml" Id="R94b3789633704912" /><Relationship Type="http://schemas.openxmlformats.org/officeDocument/2006/relationships/worksheet" Target="/xl/worksheets/sheet3.xml" Id="R120aed7ab0a9421a" /><Relationship Type="http://schemas.openxmlformats.org/officeDocument/2006/relationships/worksheet" Target="/xl/worksheets/sheet4.xml" Id="Reeb8a6cc732e490a" /><Relationship Type="http://schemas.openxmlformats.org/officeDocument/2006/relationships/worksheet" Target="/xl/worksheets/sheet5.xml" Id="Re3d71e0bc2e549e7" /><Relationship Type="http://schemas.microsoft.com/office/2017/10/relationships/person" Target="/xl/persons/person.xml" Id="R32ae37cd9f4943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0f7b11cc524439" /></Relationships>
</file>

<file path=xl/drawings/charts/chart1.xml><?xml version="1.0" encoding="utf-8"?>
<c:chartSpace xmlns:c="http://schemas.openxmlformats.org/drawingml/2006/chart">
  <c:lang val="en-US"/>
  <c:roundedCorners val="0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各一级域模拟月咨询量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'场景地图'!C3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'场景地图'!$A$4:$A$11</c:f>
              <c:strCache>
                <c:ptCount val="0"/>
              </c:strCache>
            </c:strRef>
          </c:cat>
          <c:val>
            <c:numRef>
              <c:f>'场景地图'!$C$4:$C$11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模拟咨询量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一级域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540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0f7b11cc524439"/>
        </a:graphicData>
      </a:graphic>
    </xdr:graphicFrame>
    <xdr:clientData/>
  </xdr:oneCellAnchor>
</xdr:wsDr>
</file>

<file path=xl/persons/person.xml><?xml version="1.0" encoding="utf-8"?>
<xltc:personList xmlns:xltc="http://schemas.microsoft.com/office/spreadsheetml/2018/threadedcomments">
  <xltc:person displayName="OpenAI" id="{50F20A13-82E6-B8F8-EF95-92E183C436C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70ac3f161166401f" /><Relationship Type="http://schemas.openxmlformats.org/officeDocument/2006/relationships/vmlDrawing" Target="/xl/drawings/vmldrawing.vml" Id="Rb3fa7c1d791248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d87c5b4a4f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0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34" customHeight="1">
      <x:c r="A1" s="1" t="inlineStr">
        <x:is>
          <x:t xml:space="preserve">OH!SOME 多国家会员 AI 客服｜Day 2 会员咨询场景库 V1</x:t>
        </x:is>
      </x:c>
    </x:row>
    <x:row r="3" ht="42" customHeight="1">
      <x:c r="A3" s="2" t="inlineStr">
        <x:is>
          <x:t xml:space="preserve">文件用途</x:t>
        </x:is>
      </x:c>
      <x:c r="B3" s="3" t="inlineStr">
        <x:is>
          <x:t xml:space="preserve">将原始会员咨询归一化为可设计、可评估、可排期的服务场景，并形成 MVP 优先级。</x:t>
        </x:is>
      </x:c>
    </x:row>
    <x:row r="4" ht="42" customHeight="1">
      <x:c r="A4" s="4" t="inlineStr">
        <x:is>
          <x:t xml:space="preserve">真实性边界</x:t>
        </x:is>
      </x:c>
      <x:c r="B4" s="5" t="inlineStr">
        <x:is>
          <x:t xml:space="preserve">场景结构基于会员业务逻辑；“模拟月咨询量”和评分为学习假设，不是 OH!SOME 真实经营数据。</x:t>
        </x:is>
      </x:c>
    </x:row>
    <x:row r="5" ht="42" customHeight="1">
      <x:c r="A5" s="2" t="inlineStr">
        <x:is>
          <x:t xml:space="preserve">建议使用顺序</x:t>
        </x:is>
      </x:c>
      <x:c r="B5" s="3" t="inlineStr">
        <x:is>
          <x:t xml:space="preserve">先看“原始问题样例”理解用户表达，再看“场景总表”分析服务场景，最后在“场景地图”查看结构与优先级。</x:t>
        </x:is>
      </x:c>
    </x:row>
    <x:row r="6" ht="42" customHeight="1">
      <x:c r="A6" s="4" t="inlineStr">
        <x:is>
          <x:t xml:space="preserve">Day 2 重点</x:t>
        </x:is>
      </x:c>
      <x:c r="B6" s="5" t="inlineStr">
        <x:is>
          <x:t xml:space="preserve">今天先做场景盘点和优先级，不要求建立完整 NLU 意图标签；详细意图编码、正反例和多意图处理留到 Day 4。</x:t>
        </x:is>
      </x:c>
    </x:row>
    <x:row r="7" ht="42" customHeight="1">
      <x:c r="A7" s="2" t="inlineStr">
        <x:is>
          <x:t xml:space="preserve">颜色说明</x:t>
        </x:is>
      </x:c>
      <x:c r="B7" s="3" t="inlineStr">
        <x:is>
          <x:t xml:space="preserve">蓝色字体=可调整的模拟输入；黑色=公式或计算结果；绿色=项目已有/外部业务数据字段；橙色=需要产品复核；红色底=高风险或转人工。</x:t>
        </x:is>
      </x:c>
    </x:row>
    <x:row r="8" ht="42" customHeight="1">
      <x:c r="A8" s="2" t="inlineStr">
        <x:is>
          <x:t xml:space="preserve">交付标准</x:t>
        </x:is>
      </x:c>
      <x:c r="B8" s="3" t="inlineStr">
        <x:is>
          <x:t xml:space="preserve">你能解释：原始问题如何归一化为场景、一个场景需要哪些数据/能力、为什么它进入 MVP P0/P1 或转人工。</x:t>
        </x:is>
      </x:c>
    </x:row>
  </x:sheetData>
  <x:mergeCells>
    <x:mergeCell ref="B8:H8"/>
    <x:mergeCell ref="B4:H4"/>
    <x:mergeCell ref="B6:H6"/>
    <x:mergeCell ref="B7:H7"/>
    <x:mergeCell ref="A1:H1"/>
    <x:mergeCell ref="B3:H3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2" customWidth="1"/>
    <x:col min="3" max="3" width="20" customWidth="1"/>
    <x:col min="4" max="4" width="20" customWidth="1"/>
    <x:col min="5" max="5" width="20" customWidth="1"/>
    <x:col min="6" max="6" width="45" customWidth="1"/>
  </x:cols>
  <x:sheetData>
    <x:row r="1" ht="30" customHeight="1">
      <x:c r="A1" s="6" t="inlineStr">
        <x:is>
          <x:t xml:space="preserve">场景优先级评分规则（学习版）</x:t>
        </x:is>
      </x:c>
    </x:row>
    <x:row r="2"/>
    <x:row r="3">
      <x:c r="A3" s="7" t="inlineStr">
        <x:is>
          <x:t xml:space="preserve">维度</x:t>
        </x:is>
      </x:c>
      <x:c r="B3" s="7" t="inlineStr">
        <x:is>
          <x:t xml:space="preserve">权重</x:t>
        </x:is>
      </x:c>
      <x:c r="C3" s="7" t="inlineStr">
        <x:is>
          <x:t xml:space="preserve">1分</x:t>
        </x:is>
      </x:c>
      <x:c r="D3" s="7" t="inlineStr">
        <x:is>
          <x:t xml:space="preserve">3分</x:t>
        </x:is>
      </x:c>
      <x:c r="E3" s="7" t="inlineStr">
        <x:is>
          <x:t xml:space="preserve">5分</x:t>
        </x:is>
      </x:c>
      <x:c r="F3" s="7" t="inlineStr">
        <x:is>
          <x:t xml:space="preserve">产品判断提醒</x:t>
        </x:is>
      </x:c>
    </x:row>
    <x:row r="4">
      <x:c r="A4" s="8" t="inlineStr">
        <x:is>
          <x:t xml:space="preserve">咨询频次</x:t>
        </x:is>
      </x:c>
      <x:c r="B4" s="9" t="n">
        <x:v>0.25</x:v>
      </x:c>
      <x:c r="C4" s="8" t="inlineStr">
        <x:is>
          <x:t xml:space="preserve">极低/偶发</x:t>
        </x:is>
      </x:c>
      <x:c r="D4" s="8" t="inlineStr">
        <x:is>
          <x:t xml:space="preserve">中等</x:t>
        </x:is>
      </x:c>
      <x:c r="E4" s="8" t="inlineStr">
        <x:is>
          <x:t xml:space="preserve">高频重复</x:t>
        </x:is>
      </x:c>
      <x:c r="F4" s="8" t="inlineStr">
        <x:is>
          <x:t xml:space="preserve">频次是模拟输入，真实项目必须来自会话、工单和搜索日志</x:t>
        </x:is>
      </x:c>
    </x:row>
    <x:row r="5">
      <x:c r="A5" s="8" t="inlineStr">
        <x:is>
          <x:t xml:space="preserve">用户影响</x:t>
        </x:is>
      </x:c>
      <x:c r="B5" s="9" t="n">
        <x:v>0.2</x:v>
      </x:c>
      <x:c r="C5" s="8" t="inlineStr">
        <x:is>
          <x:t xml:space="preserve">不影响任务</x:t>
        </x:is>
      </x:c>
      <x:c r="D5" s="8" t="inlineStr">
        <x:is>
          <x:t xml:space="preserve">造成困惑</x:t>
        </x:is>
      </x:c>
      <x:c r="E5" s="8" t="inlineStr">
        <x:is>
          <x:t xml:space="preserve">阻断使用/引发投诉</x:t>
        </x:is>
      </x:c>
      <x:c r="F5" s="8" t="inlineStr">
        <x:is>
          <x:t xml:space="preserve">不要只看咨询量，结算和资产问题影响更大</x:t>
        </x:is>
      </x:c>
    </x:row>
    <x:row r="6">
      <x:c r="A6" s="8" t="inlineStr">
        <x:is>
          <x:t xml:space="preserve">可标准化程度</x:t>
        </x:is>
      </x:c>
      <x:c r="B6" s="9" t="n">
        <x:v>0.2</x:v>
      </x:c>
      <x:c r="C6" s="8" t="inlineStr">
        <x:is>
          <x:t xml:space="preserve">强人工判断</x:t>
        </x:is>
      </x:c>
      <x:c r="D6" s="8" t="inlineStr">
        <x:is>
          <x:t xml:space="preserve">部分可规则化</x:t>
        </x:is>
      </x:c>
      <x:c r="E6" s="8" t="inlineStr">
        <x:is>
          <x:t xml:space="preserve">规则明确稳定</x:t>
        </x:is>
      </x:c>
      <x:c r="F6" s="8" t="inlineStr">
        <x:is>
          <x:t xml:space="preserve">可标准化不代表可以自动执行高风险动作</x:t>
        </x:is>
      </x:c>
    </x:row>
    <x:row r="7">
      <x:c r="A7" s="8" t="inlineStr">
        <x:is>
          <x:t xml:space="preserve">数据就绪度</x:t>
        </x:is>
      </x:c>
      <x:c r="B7" s="9" t="n">
        <x:v>0.2</x:v>
      </x:c>
      <x:c r="C7" s="8" t="inlineStr">
        <x:is>
          <x:t xml:space="preserve">无接口/无规则</x:t>
        </x:is>
      </x:c>
      <x:c r="D7" s="8" t="inlineStr">
        <x:is>
          <x:t xml:space="preserve">数据部分可用</x:t>
        </x:is>
      </x:c>
      <x:c r="E7" s="8" t="inlineStr">
        <x:is>
          <x:t xml:space="preserve">接口与规则齐全</x:t>
        </x:is>
      </x:c>
      <x:c r="F7" s="8" t="inlineStr">
        <x:is>
          <x:t xml:space="preserve">需要同时看数据质量、权限和实时性</x:t>
        </x:is>
      </x:c>
    </x:row>
    <x:row r="8">
      <x:c r="A8" s="8" t="inlineStr">
        <x:is>
          <x:t xml:space="preserve">风险反向分</x:t>
        </x:is>
      </x:c>
      <x:c r="B8" s="9" t="n">
        <x:v>0.15</x:v>
      </x:c>
      <x:c r="C8" s="8" t="inlineStr">
        <x:is>
          <x:t xml:space="preserve">风险5→得1分</x:t>
        </x:is>
      </x:c>
      <x:c r="D8" s="8" t="inlineStr">
        <x:is>
          <x:t xml:space="preserve">风险3→得3分</x:t>
        </x:is>
      </x:c>
      <x:c r="E8" s="8" t="inlineStr">
        <x:is>
          <x:t xml:space="preserve">风险1→得5分</x:t>
        </x:is>
      </x:c>
      <x:c r="F8" s="8" t="inlineStr">
        <x:is>
          <x:t xml:space="preserve">高风险即使频次高，也可能只适合识别与转人工</x:t>
        </x:is>
      </x:c>
    </x:row>
    <x:row r="10">
      <x:c r="A10" s="10" t="inlineStr">
        <x:is>
          <x:t xml:space="preserve">计算方式</x:t>
        </x:is>
      </x:c>
      <x:c r="B10" s="11" t="inlineStr">
        <x:is>
          <x:t xml:space="preserve">自动化适配得分 = 频次×25% + 用户影响×20% + 标准化×20% + 数据就绪×20% + (6-风险)×15%</x:t>
        </x:is>
      </x:c>
    </x:row>
    <x:row r="11">
      <x:c r="A11" s="10" t="inlineStr">
        <x:is>
          <x:t xml:space="preserve">模型建议</x:t>
        </x:is>
      </x:c>
      <x:c r="B11" s="11" t="inlineStr">
        <x:is>
          <x:t xml:space="preserve">风险≥5：转人工/暂不自动化；其余按得分：≥4.2 MVP P0，≥3.5 MVP P1，≥2.8 二期，否则暂不纳入。</x:t>
        </x:is>
      </x:c>
    </x:row>
    <x:row r="12">
      <x:c r="A12" s="12" t="inlineStr">
        <x:is>
          <x:t xml:space="preserve">注意</x:t>
        </x:is>
      </x:c>
      <x:c r="B12" s="13" t="inlineStr">
        <x:is>
          <x:t xml:space="preserve">模型建议只是初筛。最终阶段要由产品结合战略范围、系统依赖和不可逆风险做判断，所以“产品最终阶段”允许覆盖模型建议。</x:t>
        </x:is>
      </x:c>
    </x:row>
  </x:sheetData>
  <x:mergeCells>
    <x:mergeCell ref="B10:F10"/>
    <x:mergeCell ref="A1:F1"/>
    <x:mergeCell ref="B12:F12"/>
    <x:mergeCell ref="B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5" customWidth="1"/>
    <x:col min="3" max="3" width="24" customWidth="1"/>
    <x:col min="4" max="4" width="32" customWidth="1"/>
    <x:col min="5" max="5" width="15" customWidth="1"/>
    <x:col min="6" max="6" width="28" customWidth="1"/>
    <x:col min="7" max="7" width="30" customWidth="1"/>
    <x:col min="8" max="8" width="38" customWidth="1"/>
    <x:col min="9" max="9" width="10" customWidth="1"/>
    <x:col min="10" max="10" width="24" customWidth="1"/>
    <x:col min="11" max="11" width="14" customWidth="1"/>
    <x:col min="12" max="12" width="10" customWidth="1"/>
    <x:col min="13" max="13" width="12" customWidth="1"/>
    <x:col min="14" max="14" width="11" customWidth="1"/>
    <x:col min="15" max="15" width="12" customWidth="1"/>
    <x:col min="16" max="16" width="10" customWidth="1"/>
    <x:col min="17" max="17" width="16" customWidth="1"/>
    <x:col min="18" max="18" width="18" customWidth="1"/>
    <x:col min="19" max="19" width="18" customWidth="1"/>
    <x:col min="20" max="20" width="44" customWidth="1"/>
  </x:cols>
  <x:sheetData>
    <x:row r="1" ht="36" customHeight="1">
      <x:c r="A1" s="14" t="inlineStr">
        <x:is>
          <x:t xml:space="preserve">场景ID</x:t>
        </x:is>
      </x:c>
      <x:c r="B1" s="14" t="inlineStr">
        <x:is>
          <x:t xml:space="preserve">一级域</x:t>
        </x:is>
      </x:c>
      <x:c r="C1" s="14" t="inlineStr">
        <x:is>
          <x:t xml:space="preserve">二级场景</x:t>
        </x:is>
      </x:c>
      <x:c r="D1" s="14" t="inlineStr">
        <x:is>
          <x:t xml:space="preserve">典型用户问题</x:t>
        </x:is>
      </x:c>
      <x:c r="E1" s="14" t="inlineStr">
        <x:is>
          <x:t xml:space="preserve">问题类型</x:t>
        </x:is>
      </x:c>
      <x:c r="F1" s="14" t="inlineStr">
        <x:is>
          <x:t xml:space="preserve">期望服务动作</x:t>
        </x:is>
      </x:c>
      <x:c r="G1" s="14" t="inlineStr">
        <x:is>
          <x:t xml:space="preserve">依赖能力</x:t>
        </x:is>
      </x:c>
      <x:c r="H1" s="14" t="inlineStr">
        <x:is>
          <x:t xml:space="preserve">关键数据/知识</x:t>
        </x:is>
      </x:c>
      <x:c r="I1" s="14" t="inlineStr">
        <x:is>
          <x:t xml:space="preserve">需登录</x:t>
        </x:is>
      </x:c>
      <x:c r="J1" s="14" t="inlineStr">
        <x:is>
          <x:t xml:space="preserve">需补充信息</x:t>
        </x:is>
      </x:c>
      <x:c r="K1" s="14" t="inlineStr">
        <x:is>
          <x:t xml:space="preserve">模拟月咨询量</x:t>
        </x:is>
      </x:c>
      <x:c r="L1" s="14" t="inlineStr">
        <x:is>
          <x:t xml:space="preserve">频次分</x:t>
        </x:is>
      </x:c>
      <x:c r="M1" s="14" t="inlineStr">
        <x:is>
          <x:t xml:space="preserve">用户影响分</x:t>
        </x:is>
      </x:c>
      <x:c r="N1" s="14" t="inlineStr">
        <x:is>
          <x:t xml:space="preserve">标准化分</x:t>
        </x:is>
      </x:c>
      <x:c r="O1" s="14" t="inlineStr">
        <x:is>
          <x:t xml:space="preserve">数据就绪分</x:t>
        </x:is>
      </x:c>
      <x:c r="P1" s="14" t="inlineStr">
        <x:is>
          <x:t xml:space="preserve">风险分</x:t>
        </x:is>
      </x:c>
      <x:c r="Q1" s="14" t="inlineStr">
        <x:is>
          <x:t xml:space="preserve">自动化适配得分</x:t>
        </x:is>
      </x:c>
      <x:c r="R1" s="14" t="inlineStr">
        <x:is>
          <x:t xml:space="preserve">模型建议</x:t>
        </x:is>
      </x:c>
      <x:c r="S1" s="14" t="inlineStr">
        <x:is>
          <x:t xml:space="preserve">产品最终阶段</x:t>
        </x:is>
      </x:c>
      <x:c r="T1" s="14" t="inlineStr">
        <x:is>
          <x:t xml:space="preserve">说明/边界</x:t>
        </x:is>
      </x:c>
    </x:row>
    <x:row r="2">
      <x:c r="A2" s="15" t="inlineStr">
        <x:is>
          <x:t xml:space="preserve">ACC-01</x:t>
        </x:is>
      </x:c>
      <x:c r="B2" s="15" t="inlineStr">
        <x:is>
          <x:t xml:space="preserve">账号与身份</x:t>
        </x:is>
      </x:c>
      <x:c r="C2" s="15" t="inlineStr">
        <x:is>
          <x:t xml:space="preserve">查询会员身份/绑定状态</x:t>
        </x:is>
      </x:c>
      <x:c r="D2" s="15" t="inlineStr">
        <x:is>
          <x:t xml:space="preserve">我这个手机号注册会员了吗？</x:t>
        </x:is>
      </x:c>
      <x:c r="E2" s="15" t="inlineStr">
        <x:is>
          <x:t xml:space="preserve">资产查询</x:t>
        </x:is>
      </x:c>
      <x:c r="F2" s="15" t="inlineStr">
        <x:is>
          <x:t xml:space="preserve">查询并解释当前绑定状态</x:t>
        </x:is>
      </x:c>
      <x:c r="G2" s="15" t="inlineStr">
        <x:is>
          <x:t xml:space="preserve">会员账户API + RAG</x:t>
        </x:is>
      </x:c>
      <x:c r="H2" s="15" t="inlineStr">
        <x:is>
          <x:t xml:space="preserve">会员基础信息、注册/绑定规则</x:t>
        </x:is>
      </x:c>
      <x:c r="I2" s="15" t="inlineStr">
        <x:is>
          <x:t xml:space="preserve">是</x:t>
        </x:is>
      </x:c>
      <x:c r="J2" s="15" t="inlineStr">
        <x:is>
          <x:t xml:space="preserve">手机号/邮箱或登录态</x:t>
        </x:is>
      </x:c>
      <x:c r="K2" s="16" t="n">
        <x:v>520</x:v>
      </x:c>
      <x:c r="L2" s="16" t="n">
        <x:v>4</x:v>
      </x:c>
      <x:c r="M2" s="16" t="n">
        <x:v>4</x:v>
      </x:c>
      <x:c r="N2" s="16" t="n">
        <x:v>5</x:v>
      </x:c>
      <x:c r="O2" s="16" t="n">
        <x:v>5</x:v>
      </x:c>
      <x:c r="P2" s="16" t="n">
        <x:v>3</x:v>
      </x:c>
      <x:c r="Q2" s="17" t="n">
        <x:f>ROUND(L2*'评分规则'!$B$4+M2*'评分规则'!$B$5+N2*'评分规则'!$B$6+O2*'评分规则'!$B$7+(6-P2)*'评分规则'!$B$8,2)</x:f>
        <x:v>4.25</x:v>
      </x:c>
      <x:c r="R2" s="18" t="str">
        <x:f>IF(P2&gt;=5,"转人工/暂不自动化",IF(Q2&gt;=4.2,"MVP P0",IF(Q2&gt;=3.5,"MVP P1",IF(Q2&gt;=2.8,"二期","暂不纳入"))))</x:f>
        <x:v>MVP P0</x:v>
      </x:c>
      <x:c r="S2" s="19" t="inlineStr">
        <x:is>
          <x:t xml:space="preserve">MVP P1</x:t>
        </x:is>
      </x:c>
      <x:c r="T2" s="20" t="inlineStr">
        <x:is>
          <x:t xml:space="preserve">只展示当前登录账号的绑定结果，不返回完整敏感信息</x:t>
        </x:is>
      </x:c>
    </x:row>
    <x:row r="3">
      <x:c r="A3" s="15" t="inlineStr">
        <x:is>
          <x:t xml:space="preserve">ACC-02</x:t>
        </x:is>
      </x:c>
      <x:c r="B3" s="15" t="inlineStr">
        <x:is>
          <x:t xml:space="preserve">账号与身份</x:t>
        </x:is>
      </x:c>
      <x:c r="C3" s="15" t="inlineStr">
        <x:is>
          <x:t xml:space="preserve">登录失败/验证码问题</x:t>
        </x:is>
      </x:c>
      <x:c r="D3" s="15" t="inlineStr">
        <x:is>
          <x:t xml:space="preserve">收不到验证码，登录不了</x:t>
        </x:is>
      </x:c>
      <x:c r="E3" s="15" t="inlineStr">
        <x:is>
          <x:t xml:space="preserve">异常诊断</x:t>
        </x:is>
      </x:c>
      <x:c r="F3" s="15" t="inlineStr">
        <x:is>
          <x:t xml:space="preserve">排查发送状态并给出操作引导</x:t>
        </x:is>
      </x:c>
      <x:c r="G3" s="15" t="inlineStr">
        <x:is>
          <x:t xml:space="preserve">验证码状态API + RAG + 工作流</x:t>
        </x:is>
      </x:c>
      <x:c r="H3" s="15" t="inlineStr">
        <x:is>
          <x:t xml:space="preserve">验证码发送记录、登录规则</x:t>
        </x:is>
      </x:c>
      <x:c r="I3" s="15" t="inlineStr">
        <x:is>
          <x:t xml:space="preserve">否</x:t>
        </x:is>
      </x:c>
      <x:c r="J3" s="15" t="inlineStr">
        <x:is>
          <x:t xml:space="preserve">手机号、国家区号、错误提示</x:t>
        </x:is>
      </x:c>
      <x:c r="K3" s="16" t="n">
        <x:v>680</x:v>
      </x:c>
      <x:c r="L3" s="16" t="n">
        <x:v>4</x:v>
      </x:c>
      <x:c r="M3" s="16" t="n">
        <x:v>5</x:v>
      </x:c>
      <x:c r="N3" s="16" t="n">
        <x:v>4</x:v>
      </x:c>
      <x:c r="O3" s="16" t="n">
        <x:v>4</x:v>
      </x:c>
      <x:c r="P3" s="16" t="n">
        <x:v>3</x:v>
      </x:c>
      <x:c r="Q3" s="17" t="n">
        <x:f>ROUND(L3*'评分规则'!$B$4+M3*'评分规则'!$B$5+N3*'评分规则'!$B$6+O3*'评分规则'!$B$7+(6-P3)*'评分规则'!$B$8,2)</x:f>
        <x:v>4.05</x:v>
      </x:c>
      <x:c r="R3" s="18" t="str">
        <x:f>IF(P3&gt;=5,"转人工/暂不自动化",IF(Q3&gt;=4.2,"MVP P0",IF(Q3&gt;=3.5,"MVP P1",IF(Q3&gt;=2.8,"二期","暂不纳入"))))</x:f>
        <x:v>MVP P1</x:v>
      </x:c>
      <x:c r="S3" s="19" t="inlineStr">
        <x:is>
          <x:t xml:space="preserve">MVP P1</x:t>
        </x:is>
      </x:c>
      <x:c r="T3" s="20" t="inlineStr">
        <x:is>
          <x:t xml:space="preserve">连续失败、疑似账号风险或系统异常时转人工</x:t>
        </x:is>
      </x:c>
    </x:row>
    <x:row r="4">
      <x:c r="A4" s="15" t="inlineStr">
        <x:is>
          <x:t xml:space="preserve">ACC-03</x:t>
        </x:is>
      </x:c>
      <x:c r="B4" s="15" t="inlineStr">
        <x:is>
          <x:t xml:space="preserve">账号与身份</x:t>
        </x:is>
      </x:c>
      <x:c r="C4" s="15" t="inlineStr">
        <x:is>
          <x:t xml:space="preserve">线上线下会员未同步</x:t>
        </x:is>
      </x:c>
      <x:c r="D4" s="15" t="inlineStr">
        <x:is>
          <x:t xml:space="preserve">门店注册了会员，App里为什么没有？</x:t>
        </x:is>
      </x:c>
      <x:c r="E4" s="15" t="inlineStr">
        <x:is>
          <x:t xml:space="preserve">异常诊断</x:t>
        </x:is>
      </x:c>
      <x:c r="F4" s="15" t="inlineStr">
        <x:is>
          <x:t xml:space="preserve">核对身份标识并定位同步状态</x:t>
        </x:is>
      </x:c>
      <x:c r="G4" s="15" t="inlineStr">
        <x:is>
          <x:t xml:space="preserve">会员账户API + 同步状态API + 工作流</x:t>
        </x:is>
      </x:c>
      <x:c r="H4" s="15" t="inlineStr">
        <x:is>
          <x:t xml:space="preserve">One ID、门店注册记录、同步状态</x:t>
        </x:is>
      </x:c>
      <x:c r="I4" s="15" t="inlineStr">
        <x:is>
          <x:t xml:space="preserve">是</x:t>
        </x:is>
      </x:c>
      <x:c r="J4" s="15" t="inlineStr">
        <x:is>
          <x:t xml:space="preserve">门店、注册时间、手机号</x:t>
        </x:is>
      </x:c>
      <x:c r="K4" s="16" t="n">
        <x:v>460</x:v>
      </x:c>
      <x:c r="L4" s="16" t="n">
        <x:v>3</x:v>
      </x:c>
      <x:c r="M4" s="16" t="n">
        <x:v>5</x:v>
      </x:c>
      <x:c r="N4" s="16" t="n">
        <x:v>3</x:v>
      </x:c>
      <x:c r="O4" s="16" t="n">
        <x:v>4</x:v>
      </x:c>
      <x:c r="P4" s="16" t="n">
        <x:v>4</x:v>
      </x:c>
      <x:c r="Q4" s="17" t="n">
        <x:f>ROUND(L4*'评分规则'!$B$4+M4*'评分规则'!$B$5+N4*'评分规则'!$B$6+O4*'评分规则'!$B$7+(6-P4)*'评分规则'!$B$8,2)</x:f>
        <x:v>3.45</x:v>
      </x:c>
      <x:c r="R4" s="18" t="str">
        <x:f>IF(P4&gt;=5,"转人工/暂不自动化",IF(Q4&gt;=4.2,"MVP P0",IF(Q4&gt;=3.5,"MVP P1",IF(Q4&gt;=2.8,"二期","暂不纳入"))))</x:f>
        <x:v>二期</x:v>
      </x:c>
      <x:c r="S4" s="19" t="inlineStr">
        <x:is>
          <x:t xml:space="preserve">MVP P1</x:t>
        </x:is>
      </x:c>
      <x:c r="T4" s="20" t="inlineStr">
        <x:is>
          <x:t xml:space="preserve">涉及合并前必须确认同一自然人，AI不直接合并账号</x:t>
        </x:is>
      </x:c>
    </x:row>
    <x:row r="5">
      <x:c r="A5" s="21" t="inlineStr">
        <x:is>
          <x:t xml:space="preserve">ACC-04</x:t>
        </x:is>
      </x:c>
      <x:c r="B5" s="21" t="inlineStr">
        <x:is>
          <x:t xml:space="preserve">账号与身份</x:t>
        </x:is>
      </x:c>
      <x:c r="C5" s="21" t="inlineStr">
        <x:is>
          <x:t xml:space="preserve">重复账号/账号合并</x:t>
        </x:is>
      </x:c>
      <x:c r="D5" s="21" t="inlineStr">
        <x:is>
          <x:t xml:space="preserve">我有两个会员账号，能合并吗？</x:t>
        </x:is>
      </x:c>
      <x:c r="E5" s="21" t="inlineStr">
        <x:is>
          <x:t xml:space="preserve">人工处理</x:t>
        </x:is>
      </x:c>
      <x:c r="F5" s="21" t="inlineStr">
        <x:is>
          <x:t xml:space="preserve">解释规则并收集资料转人工</x:t>
        </x:is>
      </x:c>
      <x:c r="G5" s="21" t="inlineStr">
        <x:is>
          <x:t xml:space="preserve">RAG + 人工工单</x:t>
        </x:is>
      </x:c>
      <x:c r="H5" s="21" t="inlineStr">
        <x:is>
          <x:t xml:space="preserve">账号合并规则、身份校验SOP</x:t>
        </x:is>
      </x:c>
      <x:c r="I5" s="21" t="inlineStr">
        <x:is>
          <x:t xml:space="preserve">是</x:t>
        </x:is>
      </x:c>
      <x:c r="J5" s="21" t="inlineStr">
        <x:is>
          <x:t xml:space="preserve">两个账号标识、身份证明要求</x:t>
        </x:is>
      </x:c>
      <x:c r="K5" s="22" t="n">
        <x:v>180</x:v>
      </x:c>
      <x:c r="L5" s="22" t="n">
        <x:v>2</x:v>
      </x:c>
      <x:c r="M5" s="22" t="n">
        <x:v>4</x:v>
      </x:c>
      <x:c r="N5" s="22" t="n">
        <x:v>2</x:v>
      </x:c>
      <x:c r="O5" s="22" t="n">
        <x:v>2</x:v>
      </x:c>
      <x:c r="P5" s="22" t="n">
        <x:v>5</x:v>
      </x:c>
      <x:c r="Q5" s="23" t="n">
        <x:f>ROUND(L5*'评分规则'!$B$4+M5*'评分规则'!$B$5+N5*'评分规则'!$B$6+O5*'评分规则'!$B$7+(6-P5)*'评分规则'!$B$8,2)</x:f>
        <x:v>2.25</x:v>
      </x:c>
      <x:c r="R5" s="24" t="str">
        <x:f>IF(P5&gt;=5,"转人工/暂不自动化",IF(Q5&gt;=4.2,"MVP P0",IF(Q5&gt;=3.5,"MVP P1",IF(Q5&gt;=2.8,"二期","暂不纳入"))))</x:f>
        <x:v>转人工/暂不自动化</x:v>
      </x:c>
      <x:c r="S5" s="25" t="inlineStr">
        <x:is>
          <x:t xml:space="preserve">二期/转人工</x:t>
        </x:is>
      </x:c>
      <x:c r="T5" s="26" t="inlineStr">
        <x:is>
          <x:t xml:space="preserve">账号合并涉及资产迁移与审计，不自动执行</x:t>
        </x:is>
      </x:c>
    </x:row>
    <x:row r="6">
      <x:c r="A6" s="21" t="inlineStr">
        <x:is>
          <x:t xml:space="preserve">ACC-05</x:t>
        </x:is>
      </x:c>
      <x:c r="B6" s="21" t="inlineStr">
        <x:is>
          <x:t xml:space="preserve">账号与身份</x:t>
        </x:is>
      </x:c>
      <x:c r="C6" s="21" t="inlineStr">
        <x:is>
          <x:t xml:space="preserve">注销账号/隐私请求</x:t>
        </x:is>
      </x:c>
      <x:c r="D6" s="21" t="inlineStr">
        <x:is>
          <x:t xml:space="preserve">我要注销会员并删除资料</x:t>
        </x:is>
      </x:c>
      <x:c r="E6" s="21" t="inlineStr">
        <x:is>
          <x:t xml:space="preserve">人工处理</x:t>
        </x:is>
      </x:c>
      <x:c r="F6" s="21" t="inlineStr">
        <x:is>
          <x:t xml:space="preserve">解释影响并转隐私流程</x:t>
        </x:is>
      </x:c>
      <x:c r="G6" s="21" t="inlineStr">
        <x:is>
          <x:t xml:space="preserve">RAG + 人工工单</x:t>
        </x:is>
      </x:c>
      <x:c r="H6" s="21" t="inlineStr">
        <x:is>
          <x:t xml:space="preserve">隐私政策、注销流程、保留期限</x:t>
        </x:is>
      </x:c>
      <x:c r="I6" s="21" t="inlineStr">
        <x:is>
          <x:t xml:space="preserve">是</x:t>
        </x:is>
      </x:c>
      <x:c r="J6" s="21" t="inlineStr">
        <x:is>
          <x:t xml:space="preserve">注销原因、身份确认</x:t>
        </x:is>
      </x:c>
      <x:c r="K6" s="22" t="n">
        <x:v>130</x:v>
      </x:c>
      <x:c r="L6" s="22" t="n">
        <x:v>2</x:v>
      </x:c>
      <x:c r="M6" s="22" t="n">
        <x:v>5</x:v>
      </x:c>
      <x:c r="N6" s="22" t="n">
        <x:v>3</x:v>
      </x:c>
      <x:c r="O6" s="22" t="n">
        <x:v>3</x:v>
      </x:c>
      <x:c r="P6" s="22" t="n">
        <x:v>5</x:v>
      </x:c>
      <x:c r="Q6" s="23" t="n">
        <x:f>ROUND(L6*'评分规则'!$B$4+M6*'评分规则'!$B$5+N6*'评分规则'!$B$6+O6*'评分规则'!$B$7+(6-P6)*'评分规则'!$B$8,2)</x:f>
        <x:v>2.85</x:v>
      </x:c>
      <x:c r="R6" s="24" t="str">
        <x:f>IF(P6&gt;=5,"转人工/暂不自动化",IF(Q6&gt;=4.2,"MVP P0",IF(Q6&gt;=3.5,"MVP P1",IF(Q6&gt;=2.8,"二期","暂不纳入"))))</x:f>
        <x:v>转人工/暂不自动化</x:v>
      </x:c>
      <x:c r="S6" s="25" t="inlineStr">
        <x:is>
          <x:t xml:space="preserve">转人工</x:t>
        </x:is>
      </x:c>
      <x:c r="T6" s="26" t="inlineStr">
        <x:is>
          <x:t xml:space="preserve">属于隐私与合规流程，不由AI直接完成</x:t>
        </x:is>
      </x:c>
    </x:row>
    <x:row r="7">
      <x:c r="A7" s="27" t="inlineStr">
        <x:is>
          <x:t xml:space="preserve">PTS-01</x:t>
        </x:is>
      </x:c>
      <x:c r="B7" s="27" t="inlineStr">
        <x:is>
          <x:t xml:space="preserve">积分</x:t>
        </x:is>
      </x:c>
      <x:c r="C7" s="27" t="inlineStr">
        <x:is>
          <x:t xml:space="preserve">积分余额查询</x:t>
        </x:is>
      </x:c>
      <x:c r="D7" s="27" t="inlineStr">
        <x:is>
          <x:t xml:space="preserve">我现在还有多少积分？</x:t>
        </x:is>
      </x:c>
      <x:c r="E7" s="27" t="inlineStr">
        <x:is>
          <x:t xml:space="preserve">资产查询</x:t>
        </x:is>
      </x:c>
      <x:c r="F7" s="27" t="inlineStr">
        <x:is>
          <x:t xml:space="preserve">返回实时余额与即将过期提示</x:t>
        </x:is>
      </x:c>
      <x:c r="G7" s="27" t="inlineStr">
        <x:is>
          <x:t xml:space="preserve">积分账户API</x:t>
        </x:is>
      </x:c>
      <x:c r="H7" s="27" t="inlineStr">
        <x:is>
          <x:t xml:space="preserve">积分余额、冻结积分、过期批次</x:t>
        </x:is>
      </x:c>
      <x:c r="I7" s="27" t="inlineStr">
        <x:is>
          <x:t xml:space="preserve">是</x:t>
        </x:is>
      </x:c>
      <x:c r="J7" s="27" t="inlineStr">
        <x:is>
          <x:t xml:space="preserve">无需；使用当前登录态</x:t>
        </x:is>
      </x:c>
      <x:c r="K7" s="28" t="n">
        <x:v>2100</x:v>
      </x:c>
      <x:c r="L7" s="28" t="n">
        <x:v>5</x:v>
      </x:c>
      <x:c r="M7" s="28" t="n">
        <x:v>5</x:v>
      </x:c>
      <x:c r="N7" s="28" t="n">
        <x:v>5</x:v>
      </x:c>
      <x:c r="O7" s="28" t="n">
        <x:v>5</x:v>
      </x:c>
      <x:c r="P7" s="28" t="n">
        <x:v>3</x:v>
      </x:c>
      <x:c r="Q7" s="29" t="n">
        <x:f>ROUND(L7*'评分规则'!$B$4+M7*'评分规则'!$B$5+N7*'评分规则'!$B$6+O7*'评分规则'!$B$7+(6-P7)*'评分规则'!$B$8,2)</x:f>
        <x:v>4.7</x:v>
      </x:c>
      <x:c r="R7" s="30" t="str">
        <x:f>IF(P7&gt;=5,"转人工/暂不自动化",IF(Q7&gt;=4.2,"MVP P0",IF(Q7&gt;=3.5,"MVP P1",IF(Q7&gt;=2.8,"二期","暂不纳入"))))</x:f>
        <x:v>MVP P0</x:v>
      </x:c>
      <x:c r="S7" s="31" t="inlineStr">
        <x:is>
          <x:t xml:space="preserve">MVP P0</x:t>
        </x:is>
      </x:c>
      <x:c r="T7" s="32" t="inlineStr">
        <x:is>
          <x:t xml:space="preserve">具体数值只能来自接口；接口失败不得生成</x:t>
        </x:is>
      </x:c>
    </x:row>
    <x:row r="8">
      <x:c r="A8" s="27" t="inlineStr">
        <x:is>
          <x:t xml:space="preserve">PTS-02</x:t>
        </x:is>
      </x:c>
      <x:c r="B8" s="27" t="inlineStr">
        <x:is>
          <x:t xml:space="preserve">积分</x:t>
        </x:is>
      </x:c>
      <x:c r="C8" s="27" t="inlineStr">
        <x:is>
          <x:t xml:space="preserve">积分流水查询</x:t>
        </x:is>
      </x:c>
      <x:c r="D8" s="27" t="inlineStr">
        <x:is>
          <x:t xml:space="preserve">这200积分是怎么来的？</x:t>
        </x:is>
      </x:c>
      <x:c r="E8" s="27" t="inlineStr">
        <x:is>
          <x:t xml:space="preserve">资产查询</x:t>
        </x:is>
      </x:c>
      <x:c r="F8" s="27" t="inlineStr">
        <x:is>
          <x:t xml:space="preserve">展示积分来源、时间和状态</x:t>
        </x:is>
      </x:c>
      <x:c r="G8" s="27" t="inlineStr">
        <x:is>
          <x:t xml:space="preserve">积分流水API</x:t>
        </x:is>
      </x:c>
      <x:c r="H8" s="27" t="inlineStr">
        <x:is>
          <x:t xml:space="preserve">积分流水、订单号、业务线</x:t>
        </x:is>
      </x:c>
      <x:c r="I8" s="27" t="inlineStr">
        <x:is>
          <x:t xml:space="preserve">是</x:t>
        </x:is>
      </x:c>
      <x:c r="J8" s="27" t="inlineStr">
        <x:is>
          <x:t xml:space="preserve">时间范围或流水记录</x:t>
        </x:is>
      </x:c>
      <x:c r="K8" s="28" t="n">
        <x:v>820</x:v>
      </x:c>
      <x:c r="L8" s="28" t="n">
        <x:v>4</x:v>
      </x:c>
      <x:c r="M8" s="28" t="n">
        <x:v>4</x:v>
      </x:c>
      <x:c r="N8" s="28" t="n">
        <x:v>5</x:v>
      </x:c>
      <x:c r="O8" s="28" t="n">
        <x:v>5</x:v>
      </x:c>
      <x:c r="P8" s="28" t="n">
        <x:v>3</x:v>
      </x:c>
      <x:c r="Q8" s="29" t="n">
        <x:f>ROUND(L8*'评分规则'!$B$4+M8*'评分规则'!$B$5+N8*'评分规则'!$B$6+O8*'评分规则'!$B$7+(6-P8)*'评分规则'!$B$8,2)</x:f>
        <x:v>4.25</x:v>
      </x:c>
      <x:c r="R8" s="30" t="str">
        <x:f>IF(P8&gt;=5,"转人工/暂不自动化",IF(Q8&gt;=4.2,"MVP P0",IF(Q8&gt;=3.5,"MVP P1",IF(Q8&gt;=2.8,"二期","暂不纳入"))))</x:f>
        <x:v>MVP P0</x:v>
      </x:c>
      <x:c r="S8" s="31" t="inlineStr">
        <x:is>
          <x:t xml:space="preserve">MVP P0</x:t>
        </x:is>
      </x:c>
      <x:c r="T8" s="32" t="inlineStr">
        <x:is>
          <x:t xml:space="preserve">必要时提供对应订单入口，不展示他人信息</x:t>
        </x:is>
      </x:c>
    </x:row>
    <x:row r="9">
      <x:c r="A9" s="27" t="inlineStr">
        <x:is>
          <x:t xml:space="preserve">PTS-03</x:t>
        </x:is>
      </x:c>
      <x:c r="B9" s="27" t="inlineStr">
        <x:is>
          <x:t xml:space="preserve">积分</x:t>
        </x:is>
      </x:c>
      <x:c r="C9" s="27" t="inlineStr">
        <x:is>
          <x:t xml:space="preserve">积分获取规则</x:t>
        </x:is>
      </x:c>
      <x:c r="D9" s="27" t="inlineStr">
        <x:is>
          <x:t xml:space="preserve">买东西怎么累计积分？</x:t>
        </x:is>
      </x:c>
      <x:c r="E9" s="27" t="inlineStr">
        <x:is>
          <x:t xml:space="preserve">规则解释</x:t>
        </x:is>
      </x:c>
      <x:c r="F9" s="27" t="inlineStr">
        <x:is>
          <x:t xml:space="preserve">按国家和业务线解释累计规则</x:t>
        </x:is>
      </x:c>
      <x:c r="G9" s="27" t="inlineStr">
        <x:is>
          <x:t xml:space="preserve">RAG</x:t>
        </x:is>
      </x:c>
      <x:c r="H9" s="27" t="inlineStr">
        <x:is>
          <x:t xml:space="preserve">积分获取规则、排除商品、倍数活动</x:t>
        </x:is>
      </x:c>
      <x:c r="I9" s="27" t="inlineStr">
        <x:is>
          <x:t xml:space="preserve">否</x:t>
        </x:is>
      </x:c>
      <x:c r="J9" s="27" t="inlineStr">
        <x:is>
          <x:t xml:space="preserve">国家、渠道；信息不足时追问</x:t>
        </x:is>
      </x:c>
      <x:c r="K9" s="28" t="n">
        <x:v>1250</x:v>
      </x:c>
      <x:c r="L9" s="28" t="n">
        <x:v>5</x:v>
      </x:c>
      <x:c r="M9" s="28" t="n">
        <x:v>4</x:v>
      </x:c>
      <x:c r="N9" s="28" t="n">
        <x:v>5</x:v>
      </x:c>
      <x:c r="O9" s="28" t="n">
        <x:v>5</x:v>
      </x:c>
      <x:c r="P9" s="28" t="n">
        <x:v>2</x:v>
      </x:c>
      <x:c r="Q9" s="29" t="n">
        <x:f>ROUND(L9*'评分规则'!$B$4+M9*'评分规则'!$B$5+N9*'评分规则'!$B$6+O9*'评分规则'!$B$7+(6-P9)*'评分规则'!$B$8,2)</x:f>
        <x:v>4.65</x:v>
      </x:c>
      <x:c r="R9" s="30" t="str">
        <x:f>IF(P9&gt;=5,"转人工/暂不自动化",IF(Q9&gt;=4.2,"MVP P0",IF(Q9&gt;=3.5,"MVP P1",IF(Q9&gt;=2.8,"二期","暂不纳入"))))</x:f>
        <x:v>MVP P0</x:v>
      </x:c>
      <x:c r="S9" s="31" t="inlineStr">
        <x:is>
          <x:t xml:space="preserve">MVP P0</x:t>
        </x:is>
      </x:c>
      <x:c r="T9" s="32" t="inlineStr">
        <x:is>
          <x:t xml:space="preserve">需要区分零售、乐园、电商及活动加倍规则</x:t>
        </x:is>
      </x:c>
    </x:row>
    <x:row r="10">
      <x:c r="A10" s="27" t="inlineStr">
        <x:is>
          <x:t xml:space="preserve">PTS-04</x:t>
        </x:is>
      </x:c>
      <x:c r="B10" s="27" t="inlineStr">
        <x:is>
          <x:t xml:space="preserve">积分</x:t>
        </x:is>
      </x:c>
      <x:c r="C10" s="27" t="inlineStr">
        <x:is>
          <x:t xml:space="preserve">积分有效期/过期规则</x:t>
        </x:is>
      </x:c>
      <x:c r="D10" s="27" t="inlineStr">
        <x:is>
          <x:t xml:space="preserve">积分多久会过期？</x:t>
        </x:is>
      </x:c>
      <x:c r="E10" s="27" t="inlineStr">
        <x:is>
          <x:t xml:space="preserve">规则解释</x:t>
        </x:is>
      </x:c>
      <x:c r="F10" s="27" t="inlineStr">
        <x:is>
          <x:t xml:space="preserve">解释当前有效规则并提示查看过期批次</x:t>
        </x:is>
      </x:c>
      <x:c r="G10" s="27" t="inlineStr">
        <x:is>
          <x:t xml:space="preserve">RAG + 可选积分API</x:t>
        </x:is>
      </x:c>
      <x:c r="H10" s="27" t="inlineStr">
        <x:is>
          <x:t xml:space="preserve">积分有效期规则、生效时间</x:t>
        </x:is>
      </x:c>
      <x:c r="I10" s="27" t="inlineStr">
        <x:is>
          <x:t xml:space="preserve">否</x:t>
        </x:is>
      </x:c>
      <x:c r="J10" s="27" t="inlineStr">
        <x:is>
          <x:t xml:space="preserve">国家/会员类型；已登录可补充个人过期信息</x:t>
        </x:is>
      </x:c>
      <x:c r="K10" s="28" t="n">
        <x:v>1150</x:v>
      </x:c>
      <x:c r="L10" s="28" t="n">
        <x:v>5</x:v>
      </x:c>
      <x:c r="M10" s="28" t="n">
        <x:v>4</x:v>
      </x:c>
      <x:c r="N10" s="28" t="n">
        <x:v>5</x:v>
      </x:c>
      <x:c r="O10" s="28" t="n">
        <x:v>5</x:v>
      </x:c>
      <x:c r="P10" s="28" t="n">
        <x:v>2</x:v>
      </x:c>
      <x:c r="Q10" s="29" t="n">
        <x:f>ROUND(L10*'评分规则'!$B$4+M10*'评分规则'!$B$5+N10*'评分规则'!$B$6+O10*'评分规则'!$B$7+(6-P10)*'评分规则'!$B$8,2)</x:f>
        <x:v>4.65</x:v>
      </x:c>
      <x:c r="R10" s="30" t="str">
        <x:f>IF(P10&gt;=5,"转人工/暂不自动化",IF(Q10&gt;=4.2,"MVP P0",IF(Q10&gt;=3.5,"MVP P1",IF(Q10&gt;=2.8,"二期","暂不纳入"))))</x:f>
        <x:v>MVP P0</x:v>
      </x:c>
      <x:c r="S10" s="31" t="inlineStr">
        <x:is>
          <x:t xml:space="preserve">MVP P0</x:t>
        </x:is>
      </x:c>
      <x:c r="T10" s="32" t="inlineStr">
        <x:is>
          <x:t xml:space="preserve">规则解释与个人过期数量要分开回答</x:t>
        </x:is>
      </x:c>
    </x:row>
    <x:row r="11">
      <x:c r="A11" s="27" t="inlineStr">
        <x:is>
          <x:t xml:space="preserve">PTS-05</x:t>
        </x:is>
      </x:c>
      <x:c r="B11" s="27" t="inlineStr">
        <x:is>
          <x:t xml:space="preserve">积分</x:t>
        </x:is>
      </x:c>
      <x:c r="C11" s="27" t="inlineStr">
        <x:is>
          <x:t xml:space="preserve">消费积分未到账</x:t>
        </x:is>
      </x:c>
      <x:c r="D11" s="27" t="inlineStr">
        <x:is>
          <x:t xml:space="preserve">昨天买了东西，积分还没到</x:t>
        </x:is>
      </x:c>
      <x:c r="E11" s="27" t="inlineStr">
        <x:is>
          <x:t xml:space="preserve">异常诊断</x:t>
        </x:is>
      </x:c>
      <x:c r="F11" s="27" t="inlineStr">
        <x:is>
          <x:t xml:space="preserve">查订单、积分流水并按规则判断原因</x:t>
        </x:is>
      </x:c>
      <x:c r="G11" s="27" t="inlineStr">
        <x:is>
          <x:t xml:space="preserve">订单API + 积分API + RAG + 工作流</x:t>
        </x:is>
      </x:c>
      <x:c r="H11" s="27" t="inlineStr">
        <x:is>
          <x:t xml:space="preserve">订单状态、退款状态、发放时限、排除商品</x:t>
        </x:is>
      </x:c>
      <x:c r="I11" s="27" t="inlineStr">
        <x:is>
          <x:t xml:space="preserve">是</x:t>
        </x:is>
      </x:c>
      <x:c r="J11" s="27" t="inlineStr">
        <x:is>
          <x:t xml:space="preserve">订单/门店/消费时间</x:t>
        </x:is>
      </x:c>
      <x:c r="K11" s="28" t="n">
        <x:v>1750</x:v>
      </x:c>
      <x:c r="L11" s="28" t="n">
        <x:v>5</x:v>
      </x:c>
      <x:c r="M11" s="28" t="n">
        <x:v>5</x:v>
      </x:c>
      <x:c r="N11" s="28" t="n">
        <x:v>4</x:v>
      </x:c>
      <x:c r="O11" s="28" t="n">
        <x:v>4</x:v>
      </x:c>
      <x:c r="P11" s="28" t="n">
        <x:v>4</x:v>
      </x:c>
      <x:c r="Q11" s="29" t="n">
        <x:f>ROUND(L11*'评分规则'!$B$4+M11*'评分规则'!$B$5+N11*'评分规则'!$B$6+O11*'评分规则'!$B$7+(6-P11)*'评分规则'!$B$8,2)</x:f>
        <x:v>4.15</x:v>
      </x:c>
      <x:c r="R11" s="30" t="str">
        <x:f>IF(P11&gt;=5,"转人工/暂不自动化",IF(Q11&gt;=4.2,"MVP P0",IF(Q11&gt;=3.5,"MVP P1",IF(Q11&gt;=2.8,"二期","暂不纳入"))))</x:f>
        <x:v>MVP P1</x:v>
      </x:c>
      <x:c r="S11" s="31" t="inlineStr">
        <x:is>
          <x:t xml:space="preserve">MVP P0</x:t>
        </x:is>
      </x:c>
      <x:c r="T11" s="32" t="inlineStr">
        <x:is>
          <x:t xml:space="preserve">超过正常时限或数据冲突时创建工单/转人工</x:t>
        </x:is>
      </x:c>
    </x:row>
    <x:row r="12">
      <x:c r="A12" s="15" t="inlineStr">
        <x:is>
          <x:t xml:space="preserve">PTS-06</x:t>
        </x:is>
      </x:c>
      <x:c r="B12" s="15" t="inlineStr">
        <x:is>
          <x:t xml:space="preserve">积分</x:t>
        </x:is>
      </x:c>
      <x:c r="C12" s="15" t="inlineStr">
        <x:is>
          <x:t xml:space="preserve">积分异常扣减/过期</x:t>
        </x:is>
      </x:c>
      <x:c r="D12" s="15" t="inlineStr">
        <x:is>
          <x:t xml:space="preserve">我的积分怎么突然少了？</x:t>
        </x:is>
      </x:c>
      <x:c r="E12" s="15" t="inlineStr">
        <x:is>
          <x:t xml:space="preserve">异常诊断</x:t>
        </x:is>
      </x:c>
      <x:c r="F12" s="15" t="inlineStr">
        <x:is>
          <x:t xml:space="preserve">定位过期、兑换、退款或调整流水</x:t>
        </x:is>
      </x:c>
      <x:c r="G12" s="15" t="inlineStr">
        <x:is>
          <x:t xml:space="preserve">积分流水API + RAG + 工作流</x:t>
        </x:is>
      </x:c>
      <x:c r="H12" s="15" t="inlineStr">
        <x:is>
          <x:t xml:space="preserve">积分扣减流水、过期批次、调整原因</x:t>
        </x:is>
      </x:c>
      <x:c r="I12" s="15" t="inlineStr">
        <x:is>
          <x:t xml:space="preserve">是</x:t>
        </x:is>
      </x:c>
      <x:c r="J12" s="15" t="inlineStr">
        <x:is>
          <x:t xml:space="preserve">发现时间或具体流水</x:t>
        </x:is>
      </x:c>
      <x:c r="K12" s="16" t="n">
        <x:v>760</x:v>
      </x:c>
      <x:c r="L12" s="16" t="n">
        <x:v>4</x:v>
      </x:c>
      <x:c r="M12" s="16" t="n">
        <x:v>5</x:v>
      </x:c>
      <x:c r="N12" s="16" t="n">
        <x:v>4</x:v>
      </x:c>
      <x:c r="O12" s="16" t="n">
        <x:v>5</x:v>
      </x:c>
      <x:c r="P12" s="16" t="n">
        <x:v>4</x:v>
      </x:c>
      <x:c r="Q12" s="17" t="n">
        <x:f>ROUND(L12*'评分规则'!$B$4+M12*'评分规则'!$B$5+N12*'评分规则'!$B$6+O12*'评分规则'!$B$7+(6-P12)*'评分规则'!$B$8,2)</x:f>
        <x:v>4.1</x:v>
      </x:c>
      <x:c r="R12" s="18" t="str">
        <x:f>IF(P12&gt;=5,"转人工/暂不自动化",IF(Q12&gt;=4.2,"MVP P0",IF(Q12&gt;=3.5,"MVP P1",IF(Q12&gt;=2.8,"二期","暂不纳入"))))</x:f>
        <x:v>MVP P1</x:v>
      </x:c>
      <x:c r="S12" s="19" t="inlineStr">
        <x:is>
          <x:t xml:space="preserve">MVP P1</x:t>
        </x:is>
      </x:c>
      <x:c r="T12" s="20" t="inlineStr">
        <x:is>
          <x:t xml:space="preserve">不擅自恢复积分；无法解释时转人工核查</x:t>
        </x:is>
      </x:c>
    </x:row>
    <x:row r="13">
      <x:c r="A13" s="15" t="inlineStr">
        <x:is>
          <x:t xml:space="preserve">PTS-07</x:t>
        </x:is>
      </x:c>
      <x:c r="B13" s="15" t="inlineStr">
        <x:is>
          <x:t xml:space="preserve">积分</x:t>
        </x:is>
      </x:c>
      <x:c r="C13" s="15" t="inlineStr">
        <x:is>
          <x:t xml:space="preserve">退款后的积分调整</x:t>
        </x:is>
      </x:c>
      <x:c r="D13" s="15" t="inlineStr">
        <x:is>
          <x:t xml:space="preserve">订单退款后积分怎么处理？</x:t>
        </x:is>
      </x:c>
      <x:c r="E13" s="15" t="inlineStr">
        <x:is>
          <x:t xml:space="preserve">规则解释/异常</x:t>
        </x:is>
      </x:c>
      <x:c r="F13" s="15" t="inlineStr">
        <x:is>
          <x:t xml:space="preserve">解释规则并核对实际调整</x:t>
        </x:is>
      </x:c>
      <x:c r="G13" s="15" t="inlineStr">
        <x:is>
          <x:t xml:space="preserve">订单API + 积分API + RAG</x:t>
        </x:is>
      </x:c>
      <x:c r="H13" s="15" t="inlineStr">
        <x:is>
          <x:t xml:space="preserve">退款状态、积分追回规则</x:t>
        </x:is>
      </x:c>
      <x:c r="I13" s="15" t="inlineStr">
        <x:is>
          <x:t xml:space="preserve">是</x:t>
        </x:is>
      </x:c>
      <x:c r="J13" s="15" t="inlineStr">
        <x:is>
          <x:t xml:space="preserve">订单号</x:t>
        </x:is>
      </x:c>
      <x:c r="K13" s="16" t="n">
        <x:v>390</x:v>
      </x:c>
      <x:c r="L13" s="16" t="n">
        <x:v>3</x:v>
      </x:c>
      <x:c r="M13" s="16" t="n">
        <x:v>4</x:v>
      </x:c>
      <x:c r="N13" s="16" t="n">
        <x:v>4</x:v>
      </x:c>
      <x:c r="O13" s="16" t="n">
        <x:v>4</x:v>
      </x:c>
      <x:c r="P13" s="16" t="n">
        <x:v>3</x:v>
      </x:c>
      <x:c r="Q13" s="17" t="n">
        <x:f>ROUND(L13*'评分规则'!$B$4+M13*'评分规则'!$B$5+N13*'评分规则'!$B$6+O13*'评分规则'!$B$7+(6-P13)*'评分规则'!$B$8,2)</x:f>
        <x:v>3.6</x:v>
      </x:c>
      <x:c r="R13" s="18" t="str">
        <x:f>IF(P13&gt;=5,"转人工/暂不自动化",IF(Q13&gt;=4.2,"MVP P0",IF(Q13&gt;=3.5,"MVP P1",IF(Q13&gt;=2.8,"二期","暂不纳入"))))</x:f>
        <x:v>MVP P1</x:v>
      </x:c>
      <x:c r="S13" s="19" t="inlineStr">
        <x:is>
          <x:t xml:space="preserve">MVP P1</x:t>
        </x:is>
      </x:c>
      <x:c r="T13" s="20" t="inlineStr">
        <x:is>
          <x:t xml:space="preserve">部分退款、跨业务线订单需要明确规则</x:t>
        </x:is>
      </x:c>
    </x:row>
    <x:row r="14">
      <x:c r="A14" s="15" t="inlineStr">
        <x:is>
          <x:t xml:space="preserve">PTS-08</x:t>
        </x:is>
      </x:c>
      <x:c r="B14" s="15" t="inlineStr">
        <x:is>
          <x:t xml:space="preserve">积分</x:t>
        </x:is>
      </x:c>
      <x:c r="C14" s="15" t="inlineStr">
        <x:is>
          <x:t xml:space="preserve">跨业态积分通兑</x:t>
        </x:is>
      </x:c>
      <x:c r="D14" s="15" t="inlineStr">
        <x:is>
          <x:t xml:space="preserve">乐园赚的积分能在门店用吗？</x:t>
        </x:is>
      </x:c>
      <x:c r="E14" s="15" t="inlineStr">
        <x:is>
          <x:t xml:space="preserve">规则解释</x:t>
        </x:is>
      </x:c>
      <x:c r="F14" s="15" t="inlineStr">
        <x:is>
          <x:t xml:space="preserve">解释跨业态通兑范围与限制</x:t>
        </x:is>
      </x:c>
      <x:c r="G14" s="15" t="inlineStr">
        <x:is>
          <x:t xml:space="preserve">RAG</x:t>
        </x:is>
      </x:c>
      <x:c r="H14" s="15" t="inlineStr">
        <x:is>
          <x:t xml:space="preserve">业务线通兑规则、渠道限制</x:t>
        </x:is>
      </x:c>
      <x:c r="I14" s="15" t="inlineStr">
        <x:is>
          <x:t xml:space="preserve">否</x:t>
        </x:is>
      </x:c>
      <x:c r="J14" s="15" t="inlineStr">
        <x:is>
          <x:t xml:space="preserve">国家、业务线</x:t>
        </x:is>
      </x:c>
      <x:c r="K14" s="16" t="n">
        <x:v>420</x:v>
      </x:c>
      <x:c r="L14" s="16" t="n">
        <x:v>3</x:v>
      </x:c>
      <x:c r="M14" s="16" t="n">
        <x:v>4</x:v>
      </x:c>
      <x:c r="N14" s="16" t="n">
        <x:v>5</x:v>
      </x:c>
      <x:c r="O14" s="16" t="n">
        <x:v>5</x:v>
      </x:c>
      <x:c r="P14" s="16" t="n">
        <x:v>2</x:v>
      </x:c>
      <x:c r="Q14" s="17" t="n">
        <x:f>ROUND(L14*'评分规则'!$B$4+M14*'评分规则'!$B$5+N14*'评分规则'!$B$6+O14*'评分规则'!$B$7+(6-P14)*'评分规则'!$B$8,2)</x:f>
        <x:v>4.15</x:v>
      </x:c>
      <x:c r="R14" s="18" t="str">
        <x:f>IF(P14&gt;=5,"转人工/暂不自动化",IF(Q14&gt;=4.2,"MVP P0",IF(Q14&gt;=3.5,"MVP P1",IF(Q14&gt;=2.8,"二期","暂不纳入"))))</x:f>
        <x:v>MVP P1</x:v>
      </x:c>
      <x:c r="S14" s="19" t="inlineStr">
        <x:is>
          <x:t xml:space="preserve">MVP P1</x:t>
        </x:is>
      </x:c>
      <x:c r="T14" s="20" t="inlineStr">
        <x:is>
          <x:t xml:space="preserve">不同国家或品牌可能不互通，必须元数据过滤</x:t>
        </x:is>
      </x:c>
    </x:row>
    <x:row r="15">
      <x:c r="A15" s="15" t="inlineStr">
        <x:is>
          <x:t xml:space="preserve">PTS-09</x:t>
        </x:is>
      </x:c>
      <x:c r="B15" s="15" t="inlineStr">
        <x:is>
          <x:t xml:space="preserve">积分</x:t>
        </x:is>
      </x:c>
      <x:c r="C15" s="15" t="inlineStr">
        <x:is>
          <x:t xml:space="preserve">积分兑换/抵扣规则</x:t>
        </x:is>
      </x:c>
      <x:c r="D15" s="15" t="inlineStr">
        <x:is>
          <x:t xml:space="preserve">积分可以直接抵现金吗？</x:t>
        </x:is>
      </x:c>
      <x:c r="E15" s="15" t="inlineStr">
        <x:is>
          <x:t xml:space="preserve">规则解释</x:t>
        </x:is>
      </x:c>
      <x:c r="F15" s="15" t="inlineStr">
        <x:is>
          <x:t xml:space="preserve">说明兑换方式、比例、门槛和入口</x:t>
        </x:is>
      </x:c>
      <x:c r="G15" s="15" t="inlineStr">
        <x:is>
          <x:t xml:space="preserve">RAG</x:t>
        </x:is>
      </x:c>
      <x:c r="H15" s="15" t="inlineStr">
        <x:is>
          <x:t xml:space="preserve">积分兑换规则、活动限制</x:t>
        </x:is>
      </x:c>
      <x:c r="I15" s="15" t="inlineStr">
        <x:is>
          <x:t xml:space="preserve">否</x:t>
        </x:is>
      </x:c>
      <x:c r="J15" s="15" t="inlineStr">
        <x:is>
          <x:t xml:space="preserve">国家、渠道</x:t>
        </x:is>
      </x:c>
      <x:c r="K15" s="16" t="n">
        <x:v>510</x:v>
      </x:c>
      <x:c r="L15" s="16" t="n">
        <x:v>4</x:v>
      </x:c>
      <x:c r="M15" s="16" t="n">
        <x:v>4</x:v>
      </x:c>
      <x:c r="N15" s="16" t="n">
        <x:v>5</x:v>
      </x:c>
      <x:c r="O15" s="16" t="n">
        <x:v>5</x:v>
      </x:c>
      <x:c r="P15" s="16" t="n">
        <x:v>2</x:v>
      </x:c>
      <x:c r="Q15" s="17" t="n">
        <x:f>ROUND(L15*'评分规则'!$B$4+M15*'评分规则'!$B$5+N15*'评分规则'!$B$6+O15*'评分规则'!$B$7+(6-P15)*'评分规则'!$B$8,2)</x:f>
        <x:v>4.4</x:v>
      </x:c>
      <x:c r="R15" s="18" t="str">
        <x:f>IF(P15&gt;=5,"转人工/暂不自动化",IF(Q15&gt;=4.2,"MVP P0",IF(Q15&gt;=3.5,"MVP P1",IF(Q15&gt;=2.8,"二期","暂不纳入"))))</x:f>
        <x:v>MVP P0</x:v>
      </x:c>
      <x:c r="S15" s="19" t="inlineStr">
        <x:is>
          <x:t xml:space="preserve">MVP P1</x:t>
        </x:is>
      </x:c>
      <x:c r="T15" s="20" t="inlineStr">
        <x:is>
          <x:t xml:space="preserve">不得把活动兑换比例当作长期规则</x:t>
        </x:is>
      </x:c>
    </x:row>
    <x:row r="16">
      <x:c r="A16" s="33" t="inlineStr">
        <x:is>
          <x:t xml:space="preserve">PTS-10</x:t>
        </x:is>
      </x:c>
      <x:c r="B16" s="33" t="inlineStr">
        <x:is>
          <x:t xml:space="preserve">积分</x:t>
        </x:is>
      </x:c>
      <x:c r="C16" s="33" t="inlineStr">
        <x:is>
          <x:t xml:space="preserve">积分转赠/跨账号转移</x:t>
        </x:is>
      </x:c>
      <x:c r="D16" s="33" t="inlineStr">
        <x:is>
          <x:t xml:space="preserve">我能把积分转给朋友吗？</x:t>
        </x:is>
      </x:c>
      <x:c r="E16" s="33" t="inlineStr">
        <x:is>
          <x:t xml:space="preserve">规则解释</x:t>
        </x:is>
      </x:c>
      <x:c r="F16" s="33" t="inlineStr">
        <x:is>
          <x:t xml:space="preserve">解释是否支持及限制</x:t>
        </x:is>
      </x:c>
      <x:c r="G16" s="33" t="inlineStr">
        <x:is>
          <x:t xml:space="preserve">RAG</x:t>
        </x:is>
      </x:c>
      <x:c r="H16" s="33" t="inlineStr">
        <x:is>
          <x:t xml:space="preserve">积分转赠规则</x:t>
        </x:is>
      </x:c>
      <x:c r="I16" s="33" t="inlineStr">
        <x:is>
          <x:t xml:space="preserve">否</x:t>
        </x:is>
      </x:c>
      <x:c r="J16" s="33" t="inlineStr">
        <x:is>
          <x:t xml:space="preserve">国家</x:t>
        </x:is>
      </x:c>
      <x:c r="K16" s="34" t="n">
        <x:v>90</x:v>
      </x:c>
      <x:c r="L16" s="34" t="n">
        <x:v>1</x:v>
      </x:c>
      <x:c r="M16" s="34" t="n">
        <x:v>2</x:v>
      </x:c>
      <x:c r="N16" s="34" t="n">
        <x:v>5</x:v>
      </x:c>
      <x:c r="O16" s="34" t="n">
        <x:v>5</x:v>
      </x:c>
      <x:c r="P16" s="34" t="n">
        <x:v>2</x:v>
      </x:c>
      <x:c r="Q16" s="35" t="n">
        <x:f>ROUND(L16*'评分规则'!$B$4+M16*'评分规则'!$B$5+N16*'评分规则'!$B$6+O16*'评分规则'!$B$7+(6-P16)*'评分规则'!$B$8,2)</x:f>
        <x:v>3.25</x:v>
      </x:c>
      <x:c r="R16" s="36" t="str">
        <x:f>IF(P16&gt;=5,"转人工/暂不自动化",IF(Q16&gt;=4.2,"MVP P0",IF(Q16&gt;=3.5,"MVP P1",IF(Q16&gt;=2.8,"二期","暂不纳入"))))</x:f>
        <x:v>二期</x:v>
      </x:c>
      <x:c r="S16" s="37" t="inlineStr">
        <x:is>
          <x:t xml:space="preserve">二期</x:t>
        </x:is>
      </x:c>
      <x:c r="T16" s="38" t="inlineStr">
        <x:is>
          <x:t xml:space="preserve">低频；如不支持直接解释，不新增能力</x:t>
        </x:is>
      </x:c>
    </x:row>
    <x:row r="17">
      <x:c r="A17" s="27" t="inlineStr">
        <x:is>
          <x:t xml:space="preserve">CPN-01</x:t>
        </x:is>
      </x:c>
      <x:c r="B17" s="27" t="inlineStr">
        <x:is>
          <x:t xml:space="preserve">优惠券</x:t>
        </x:is>
      </x:c>
      <x:c r="C17" s="27" t="inlineStr">
        <x:is>
          <x:t xml:space="preserve">可用优惠券查询</x:t>
        </x:is>
      </x:c>
      <x:c r="D17" s="27" t="inlineStr">
        <x:is>
          <x:t xml:space="preserve">我现在有哪些券可以用？</x:t>
        </x:is>
      </x:c>
      <x:c r="E17" s="27" t="inlineStr">
        <x:is>
          <x:t xml:space="preserve">资产查询</x:t>
        </x:is>
      </x:c>
      <x:c r="F17" s="27" t="inlineStr">
        <x:is>
          <x:t xml:space="preserve">返回可用券并按到期时间排序</x:t>
        </x:is>
      </x:c>
      <x:c r="G17" s="27" t="inlineStr">
        <x:is>
          <x:t xml:space="preserve">优惠券API</x:t>
        </x:is>
      </x:c>
      <x:c r="H17" s="27" t="inlineStr">
        <x:is>
          <x:t xml:space="preserve">券实例、状态、有效期、适用范围</x:t>
        </x:is>
      </x:c>
      <x:c r="I17" s="27" t="inlineStr">
        <x:is>
          <x:t xml:space="preserve">是</x:t>
        </x:is>
      </x:c>
      <x:c r="J17" s="27" t="inlineStr">
        <x:is>
          <x:t xml:space="preserve">无需；可结合当前场景过滤</x:t>
        </x:is>
      </x:c>
      <x:c r="K17" s="28" t="n">
        <x:v>1900</x:v>
      </x:c>
      <x:c r="L17" s="28" t="n">
        <x:v>5</x:v>
      </x:c>
      <x:c r="M17" s="28" t="n">
        <x:v>5</x:v>
      </x:c>
      <x:c r="N17" s="28" t="n">
        <x:v>5</x:v>
      </x:c>
      <x:c r="O17" s="28" t="n">
        <x:v>5</x:v>
      </x:c>
      <x:c r="P17" s="28" t="n">
        <x:v>3</x:v>
      </x:c>
      <x:c r="Q17" s="29" t="n">
        <x:f>ROUND(L17*'评分规则'!$B$4+M17*'评分规则'!$B$5+N17*'评分规则'!$B$6+O17*'评分规则'!$B$7+(6-P17)*'评分规则'!$B$8,2)</x:f>
        <x:v>4.7</x:v>
      </x:c>
      <x:c r="R17" s="30" t="str">
        <x:f>IF(P17&gt;=5,"转人工/暂不自动化",IF(Q17&gt;=4.2,"MVP P0",IF(Q17&gt;=3.5,"MVP P1",IF(Q17&gt;=2.8,"二期","暂不纳入"))))</x:f>
        <x:v>MVP P0</x:v>
      </x:c>
      <x:c r="S17" s="31" t="inlineStr">
        <x:is>
          <x:t xml:space="preserve">MVP P0</x:t>
        </x:is>
      </x:c>
      <x:c r="T17" s="32" t="inlineStr">
        <x:is>
          <x:t xml:space="preserve">只返回当前账户的券；过期/冻结券需明确状态</x:t>
        </x:is>
      </x:c>
    </x:row>
    <x:row r="18">
      <x:c r="A18" s="27" t="inlineStr">
        <x:is>
          <x:t xml:space="preserve">CPN-02</x:t>
        </x:is>
      </x:c>
      <x:c r="B18" s="27" t="inlineStr">
        <x:is>
          <x:t xml:space="preserve">优惠券</x:t>
        </x:is>
      </x:c>
      <x:c r="C18" s="27" t="inlineStr">
        <x:is>
          <x:t xml:space="preserve">券使用条件解释</x:t>
        </x:is>
      </x:c>
      <x:c r="D18" s="27" t="inlineStr">
        <x:is>
          <x:t xml:space="preserve">这张满减券怎么用？</x:t>
        </x:is>
      </x:c>
      <x:c r="E18" s="27" t="inlineStr">
        <x:is>
          <x:t xml:space="preserve">规则解释</x:t>
        </x:is>
      </x:c>
      <x:c r="F18" s="27" t="inlineStr">
        <x:is>
          <x:t xml:space="preserve">结合券实例解释门槛和限制</x:t>
        </x:is>
      </x:c>
      <x:c r="G18" s="27" t="inlineStr">
        <x:is>
          <x:t xml:space="preserve">优惠券API + RAG</x:t>
        </x:is>
      </x:c>
      <x:c r="H18" s="27" t="inlineStr">
        <x:is>
          <x:t xml:space="preserve">券模板规则、券实例、适用商品</x:t>
        </x:is>
      </x:c>
      <x:c r="I18" s="27" t="inlineStr">
        <x:is>
          <x:t xml:space="preserve">是</x:t>
        </x:is>
      </x:c>
      <x:c r="J18" s="27" t="inlineStr">
        <x:is>
          <x:t xml:space="preserve">券ID/选择具体券</x:t>
        </x:is>
      </x:c>
      <x:c r="K18" s="28" t="n">
        <x:v>1560</x:v>
      </x:c>
      <x:c r="L18" s="28" t="n">
        <x:v>5</x:v>
      </x:c>
      <x:c r="M18" s="28" t="n">
        <x:v>5</x:v>
      </x:c>
      <x:c r="N18" s="28" t="n">
        <x:v>5</x:v>
      </x:c>
      <x:c r="O18" s="28" t="n">
        <x:v>5</x:v>
      </x:c>
      <x:c r="P18" s="28" t="n">
        <x:v>2</x:v>
      </x:c>
      <x:c r="Q18" s="29" t="n">
        <x:f>ROUND(L18*'评分规则'!$B$4+M18*'评分规则'!$B$5+N18*'评分规则'!$B$6+O18*'评分规则'!$B$7+(6-P18)*'评分规则'!$B$8,2)</x:f>
        <x:v>4.85</x:v>
      </x:c>
      <x:c r="R18" s="30" t="str">
        <x:f>IF(P18&gt;=5,"转人工/暂不自动化",IF(Q18&gt;=4.2,"MVP P0",IF(Q18&gt;=3.5,"MVP P1",IF(Q18&gt;=2.8,"二期","暂不纳入"))))</x:f>
        <x:v>MVP P0</x:v>
      </x:c>
      <x:c r="S18" s="31" t="inlineStr">
        <x:is>
          <x:t xml:space="preserve">MVP P0</x:t>
        </x:is>
      </x:c>
      <x:c r="T18" s="32" t="inlineStr">
        <x:is>
          <x:t xml:space="preserve">优先读取券实例规则，不用通用FAQ覆盖具体券</x:t>
        </x:is>
      </x:c>
    </x:row>
    <x:row r="19">
      <x:c r="A19" s="27" t="inlineStr">
        <x:is>
          <x:t xml:space="preserve">CPN-03</x:t>
        </x:is>
      </x:c>
      <x:c r="B19" s="27" t="inlineStr">
        <x:is>
          <x:t xml:space="preserve">优惠券</x:t>
        </x:is>
      </x:c>
      <x:c r="C19" s="27" t="inlineStr">
        <x:is>
          <x:t xml:space="preserve">适用门店/渠道查询</x:t>
        </x:is>
      </x:c>
      <x:c r="D19" s="27" t="inlineStr">
        <x:is>
          <x:t xml:space="preserve">这张券能在线上用吗？</x:t>
        </x:is>
      </x:c>
      <x:c r="E19" s="27" t="inlineStr">
        <x:is>
          <x:t xml:space="preserve">规则解释/资产</x:t>
        </x:is>
      </x:c>
      <x:c r="F19" s="27" t="inlineStr">
        <x:is>
          <x:t xml:space="preserve">返回适用渠道、门店或业务线</x:t>
        </x:is>
      </x:c>
      <x:c r="G19" s="27" t="inlineStr">
        <x:is>
          <x:t xml:space="preserve">优惠券API + 门店API + RAG</x:t>
        </x:is>
      </x:c>
      <x:c r="H19" s="27" t="inlineStr">
        <x:is>
          <x:t xml:space="preserve">适用渠道、门店范围、国家</x:t>
        </x:is>
      </x:c>
      <x:c r="I19" s="27" t="inlineStr">
        <x:is>
          <x:t xml:space="preserve">是</x:t>
        </x:is>
      </x:c>
      <x:c r="J19" s="27" t="inlineStr">
        <x:is>
          <x:t xml:space="preserve">券ID、所在城市/渠道</x:t>
        </x:is>
      </x:c>
      <x:c r="K19" s="28" t="n">
        <x:v>1210</x:v>
      </x:c>
      <x:c r="L19" s="28" t="n">
        <x:v>5</x:v>
      </x:c>
      <x:c r="M19" s="28" t="n">
        <x:v>4</x:v>
      </x:c>
      <x:c r="N19" s="28" t="n">
        <x:v>5</x:v>
      </x:c>
      <x:c r="O19" s="28" t="n">
        <x:v>5</x:v>
      </x:c>
      <x:c r="P19" s="28" t="n">
        <x:v>2</x:v>
      </x:c>
      <x:c r="Q19" s="29" t="n">
        <x:f>ROUND(L19*'评分规则'!$B$4+M19*'评分规则'!$B$5+N19*'评分规则'!$B$6+O19*'评分规则'!$B$7+(6-P19)*'评分规则'!$B$8,2)</x:f>
        <x:v>4.65</x:v>
      </x:c>
      <x:c r="R19" s="30" t="str">
        <x:f>IF(P19&gt;=5,"转人工/暂不自动化",IF(Q19&gt;=4.2,"MVP P0",IF(Q19&gt;=3.5,"MVP P1",IF(Q19&gt;=2.8,"二期","暂不纳入"))))</x:f>
        <x:v>MVP P0</x:v>
      </x:c>
      <x:c r="S19" s="31" t="inlineStr">
        <x:is>
          <x:t xml:space="preserve">MVP P0</x:t>
        </x:is>
      </x:c>
      <x:c r="T19" s="32" t="inlineStr">
        <x:is>
          <x:t xml:space="preserve">门店范围可能动态变化，静态知识需与券配置一致</x:t>
        </x:is>
      </x:c>
    </x:row>
    <x:row r="20">
      <x:c r="A20" s="15" t="inlineStr">
        <x:is>
          <x:t xml:space="preserve">CPN-04</x:t>
        </x:is>
      </x:c>
      <x:c r="B20" s="15" t="inlineStr">
        <x:is>
          <x:t xml:space="preserve">优惠券</x:t>
        </x:is>
      </x:c>
      <x:c r="C20" s="15" t="inlineStr">
        <x:is>
          <x:t xml:space="preserve">叠加/互斥规则</x:t>
        </x:is>
      </x:c>
      <x:c r="D20" s="15" t="inlineStr">
        <x:is>
          <x:t xml:space="preserve">会员折扣还能叠加这张券吗？</x:t>
        </x:is>
      </x:c>
      <x:c r="E20" s="15" t="inlineStr">
        <x:is>
          <x:t xml:space="preserve">规则解释</x:t>
        </x:is>
      </x:c>
      <x:c r="F20" s="15" t="inlineStr">
        <x:is>
          <x:t xml:space="preserve">解释叠加优先级与互斥条件</x:t>
        </x:is>
      </x:c>
      <x:c r="G20" s="15" t="inlineStr">
        <x:is>
          <x:t xml:space="preserve">RAG + 券规则API</x:t>
        </x:is>
      </x:c>
      <x:c r="H20" s="15" t="inlineStr">
        <x:is>
          <x:t xml:space="preserve">折扣优先级、互斥组、活动规则</x:t>
        </x:is>
      </x:c>
      <x:c r="I20" s="15" t="inlineStr">
        <x:is>
          <x:t xml:space="preserve">否</x:t>
        </x:is>
      </x:c>
      <x:c r="J20" s="15" t="inlineStr">
        <x:is>
          <x:t xml:space="preserve">具体券/活动</x:t>
        </x:is>
      </x:c>
      <x:c r="K20" s="16" t="n">
        <x:v>530</x:v>
      </x:c>
      <x:c r="L20" s="16" t="n">
        <x:v>4</x:v>
      </x:c>
      <x:c r="M20" s="16" t="n">
        <x:v>4</x:v>
      </x:c>
      <x:c r="N20" s="16" t="n">
        <x:v>4</x:v>
      </x:c>
      <x:c r="O20" s="16" t="n">
        <x:v>4</x:v>
      </x:c>
      <x:c r="P20" s="16" t="n">
        <x:v>3</x:v>
      </x:c>
      <x:c r="Q20" s="17" t="n">
        <x:f>ROUND(L20*'评分规则'!$B$4+M20*'评分规则'!$B$5+N20*'评分规则'!$B$6+O20*'评分规则'!$B$7+(6-P20)*'评分规则'!$B$8,2)</x:f>
        <x:v>3.85</x:v>
      </x:c>
      <x:c r="R20" s="18" t="str">
        <x:f>IF(P20&gt;=5,"转人工/暂不自动化",IF(Q20&gt;=4.2,"MVP P0",IF(Q20&gt;=3.5,"MVP P1",IF(Q20&gt;=2.8,"二期","暂不纳入"))))</x:f>
        <x:v>MVP P1</x:v>
      </x:c>
      <x:c r="S20" s="19" t="inlineStr">
        <x:is>
          <x:t xml:space="preserve">MVP P1</x:t>
        </x:is>
      </x:c>
      <x:c r="T20" s="20" t="inlineStr">
        <x:is>
          <x:t xml:space="preserve">组合优惠复杂时需展示最终结算页为准，但不能只说“以系统为准”</x:t>
        </x:is>
      </x:c>
    </x:row>
    <x:row r="21">
      <x:c r="A21" s="27" t="inlineStr">
        <x:is>
          <x:t xml:space="preserve">CPN-05</x:t>
        </x:is>
      </x:c>
      <x:c r="B21" s="27" t="inlineStr">
        <x:is>
          <x:t xml:space="preserve">优惠券</x:t>
        </x:is>
      </x:c>
      <x:c r="C21" s="27" t="inlineStr">
        <x:is>
          <x:t xml:space="preserve">优惠券未到账</x:t>
        </x:is>
      </x:c>
      <x:c r="D21" s="27" t="inlineStr">
        <x:is>
          <x:t xml:space="preserve">活动说送券，但我没收到</x:t>
        </x:is>
      </x:c>
      <x:c r="E21" s="27" t="inlineStr">
        <x:is>
          <x:t xml:space="preserve">异常诊断</x:t>
        </x:is>
      </x:c>
      <x:c r="F21" s="27" t="inlineStr">
        <x:is>
          <x:t xml:space="preserve">核对参与资格、发放任务和券账户</x:t>
        </x:is>
      </x:c>
      <x:c r="G21" s="27" t="inlineStr">
        <x:is>
          <x:t xml:space="preserve">活动API + 券API + RAG + 工作流</x:t>
        </x:is>
      </x:c>
      <x:c r="H21" s="27" t="inlineStr">
        <x:is>
          <x:t xml:space="preserve">活动资格、发放记录、券实例</x:t>
        </x:is>
      </x:c>
      <x:c r="I21" s="27" t="inlineStr">
        <x:is>
          <x:t xml:space="preserve">是</x:t>
        </x:is>
      </x:c>
      <x:c r="J21" s="27" t="inlineStr">
        <x:is>
          <x:t xml:space="preserve">活动名称、参与时间</x:t>
        </x:is>
      </x:c>
      <x:c r="K21" s="28" t="n">
        <x:v>1080</x:v>
      </x:c>
      <x:c r="L21" s="28" t="n">
        <x:v>5</x:v>
      </x:c>
      <x:c r="M21" s="28" t="n">
        <x:v>5</x:v>
      </x:c>
      <x:c r="N21" s="28" t="n">
        <x:v>4</x:v>
      </x:c>
      <x:c r="O21" s="28" t="n">
        <x:v>4</x:v>
      </x:c>
      <x:c r="P21" s="28" t="n">
        <x:v>4</x:v>
      </x:c>
      <x:c r="Q21" s="29" t="n">
        <x:f>ROUND(L21*'评分规则'!$B$4+M21*'评分规则'!$B$5+N21*'评分规则'!$B$6+O21*'评分规则'!$B$7+(6-P21)*'评分规则'!$B$8,2)</x:f>
        <x:v>4.15</x:v>
      </x:c>
      <x:c r="R21" s="30" t="str">
        <x:f>IF(P21&gt;=5,"转人工/暂不自动化",IF(Q21&gt;=4.2,"MVP P0",IF(Q21&gt;=3.5,"MVP P1",IF(Q21&gt;=2.8,"二期","暂不纳入"))))</x:f>
        <x:v>MVP P1</x:v>
      </x:c>
      <x:c r="S21" s="31" t="inlineStr">
        <x:is>
          <x:t xml:space="preserve">MVP P0</x:t>
        </x:is>
      </x:c>
      <x:c r="T21" s="32" t="inlineStr">
        <x:is>
          <x:t xml:space="preserve">资格不满足要解释具体原因；发放失败转工单</x:t>
        </x:is>
      </x:c>
    </x:row>
    <x:row r="22">
      <x:c r="A22" s="27" t="inlineStr">
        <x:is>
          <x:t xml:space="preserve">CPN-06</x:t>
        </x:is>
      </x:c>
      <x:c r="B22" s="27" t="inlineStr">
        <x:is>
          <x:t xml:space="preserve">优惠券</x:t>
        </x:is>
      </x:c>
      <x:c r="C22" s="27" t="inlineStr">
        <x:is>
          <x:t xml:space="preserve">优惠券无法使用</x:t>
        </x:is>
      </x:c>
      <x:c r="D22" s="27" t="inlineStr">
        <x:is>
          <x:t xml:space="preserve">券没过期为什么用不了？</x:t>
        </x:is>
      </x:c>
      <x:c r="E22" s="27" t="inlineStr">
        <x:is>
          <x:t xml:space="preserve">异常诊断</x:t>
        </x:is>
      </x:c>
      <x:c r="F22" s="27" t="inlineStr">
        <x:is>
          <x:t xml:space="preserve">核对券状态、商品、门店、门槛和互斥</x:t>
        </x:is>
      </x:c>
      <x:c r="G22" s="27" t="inlineStr">
        <x:is>
          <x:t xml:space="preserve">券API + 购物车/订单API + RAG + 工作流</x:t>
        </x:is>
      </x:c>
      <x:c r="H22" s="27" t="inlineStr">
        <x:is>
          <x:t xml:space="preserve">券状态、适用范围、订单金额、互斥规则</x:t>
        </x:is>
      </x:c>
      <x:c r="I22" s="27" t="inlineStr">
        <x:is>
          <x:t xml:space="preserve">是</x:t>
        </x:is>
      </x:c>
      <x:c r="J22" s="27" t="inlineStr">
        <x:is>
          <x:t xml:space="preserve">券ID、门店/订单或商品</x:t>
        </x:is>
      </x:c>
      <x:c r="K22" s="28" t="n">
        <x:v>1650</x:v>
      </x:c>
      <x:c r="L22" s="28" t="n">
        <x:v>5</x:v>
      </x:c>
      <x:c r="M22" s="28" t="n">
        <x:v>5</x:v>
      </x:c>
      <x:c r="N22" s="28" t="n">
        <x:v>4</x:v>
      </x:c>
      <x:c r="O22" s="28" t="n">
        <x:v>4</x:v>
      </x:c>
      <x:c r="P22" s="28" t="n">
        <x:v>4</x:v>
      </x:c>
      <x:c r="Q22" s="29" t="n">
        <x:f>ROUND(L22*'评分规则'!$B$4+M22*'评分规则'!$B$5+N22*'评分规则'!$B$6+O22*'评分规则'!$B$7+(6-P22)*'评分规则'!$B$8,2)</x:f>
        <x:v>4.15</x:v>
      </x:c>
      <x:c r="R22" s="30" t="str">
        <x:f>IF(P22&gt;=5,"转人工/暂不自动化",IF(Q22&gt;=4.2,"MVP P0",IF(Q22&gt;=3.5,"MVP P1",IF(Q22&gt;=2.8,"二期","暂不纳入"))))</x:f>
        <x:v>MVP P1</x:v>
      </x:c>
      <x:c r="S22" s="31" t="inlineStr">
        <x:is>
          <x:t xml:space="preserve">MVP P0</x:t>
        </x:is>
      </x:c>
      <x:c r="T22" s="32" t="inlineStr">
        <x:is>
          <x:t xml:space="preserve">复杂高频场景，必须输出可执行原因而非泛化规则</x:t>
        </x:is>
      </x:c>
    </x:row>
    <x:row r="23">
      <x:c r="A23" s="15" t="inlineStr">
        <x:is>
          <x:t xml:space="preserve">CPN-07</x:t>
        </x:is>
      </x:c>
      <x:c r="B23" s="15" t="inlineStr">
        <x:is>
          <x:t xml:space="preserve">优惠券</x:t>
        </x:is>
      </x:c>
      <x:c r="C23" s="15" t="inlineStr">
        <x:is>
          <x:t xml:space="preserve">优惠券过期</x:t>
        </x:is>
      </x:c>
      <x:c r="D23" s="15" t="inlineStr">
        <x:is>
          <x:t xml:space="preserve">券刚过期还能恢复吗？</x:t>
        </x:is>
      </x:c>
      <x:c r="E23" s="15" t="inlineStr">
        <x:is>
          <x:t xml:space="preserve">规则解释/人工</x:t>
        </x:is>
      </x:c>
      <x:c r="F23" s="15" t="inlineStr">
        <x:is>
          <x:t xml:space="preserve">解释过期规则；补偿请求转人工</x:t>
        </x:is>
      </x:c>
      <x:c r="G23" s="15" t="inlineStr">
        <x:is>
          <x:t xml:space="preserve">券API + RAG + 人工工单</x:t>
        </x:is>
      </x:c>
      <x:c r="H23" s="15" t="inlineStr">
        <x:is>
          <x:t xml:space="preserve">券有效期、延期/补偿政策</x:t>
        </x:is>
      </x:c>
      <x:c r="I23" s="15" t="inlineStr">
        <x:is>
          <x:t xml:space="preserve">是</x:t>
        </x:is>
      </x:c>
      <x:c r="J23" s="15" t="inlineStr">
        <x:is>
          <x:t xml:space="preserve">券ID、过期时间</x:t>
        </x:is>
      </x:c>
      <x:c r="K23" s="16" t="n">
        <x:v>440</x:v>
      </x:c>
      <x:c r="L23" s="16" t="n">
        <x:v>3</x:v>
      </x:c>
      <x:c r="M23" s="16" t="n">
        <x:v>4</x:v>
      </x:c>
      <x:c r="N23" s="16" t="n">
        <x:v>4</x:v>
      </x:c>
      <x:c r="O23" s="16" t="n">
        <x:v>5</x:v>
      </x:c>
      <x:c r="P23" s="16" t="n">
        <x:v>4</x:v>
      </x:c>
      <x:c r="Q23" s="17" t="n">
        <x:f>ROUND(L23*'评分规则'!$B$4+M23*'评分规则'!$B$5+N23*'评分规则'!$B$6+O23*'评分规则'!$B$7+(6-P23)*'评分规则'!$B$8,2)</x:f>
        <x:v>3.65</x:v>
      </x:c>
      <x:c r="R23" s="18" t="str">
        <x:f>IF(P23&gt;=5,"转人工/暂不自动化",IF(Q23&gt;=4.2,"MVP P0",IF(Q23&gt;=3.5,"MVP P1",IF(Q23&gt;=2.8,"二期","暂不纳入"))))</x:f>
        <x:v>MVP P1</x:v>
      </x:c>
      <x:c r="S23" s="19" t="inlineStr">
        <x:is>
          <x:t xml:space="preserve">MVP P1</x:t>
        </x:is>
      </x:c>
      <x:c r="T23" s="20" t="inlineStr">
        <x:is>
          <x:t xml:space="preserve">AI不得承诺延期或补发</x:t>
        </x:is>
      </x:c>
    </x:row>
    <x:row r="24">
      <x:c r="A24" s="21" t="inlineStr">
        <x:is>
          <x:t xml:space="preserve">CPN-08</x:t>
        </x:is>
      </x:c>
      <x:c r="B24" s="21" t="inlineStr">
        <x:is>
          <x:t xml:space="preserve">优惠券</x:t>
        </x:is>
      </x:c>
      <x:c r="C24" s="21" t="inlineStr">
        <x:is>
          <x:t xml:space="preserve">券显示已使用但用户否认</x:t>
        </x:is>
      </x:c>
      <x:c r="D24" s="21" t="inlineStr">
        <x:is>
          <x:t xml:space="preserve">我没用过，为什么显示已核销？</x:t>
        </x:is>
      </x:c>
      <x:c r="E24" s="21" t="inlineStr">
        <x:is>
          <x:t xml:space="preserve">投诉/异常</x:t>
        </x:is>
      </x:c>
      <x:c r="F24" s="21" t="inlineStr">
        <x:is>
          <x:t xml:space="preserve">查询核销记录并转人工核查</x:t>
        </x:is>
      </x:c>
      <x:c r="G24" s="21" t="inlineStr">
        <x:is>
          <x:t xml:space="preserve">券API + 核销API + 人工工单</x:t>
        </x:is>
      </x:c>
      <x:c r="H24" s="21" t="inlineStr">
        <x:is>
          <x:t xml:space="preserve">核销门店、时间、订单、设备</x:t>
        </x:is>
      </x:c>
      <x:c r="I24" s="21" t="inlineStr">
        <x:is>
          <x:t xml:space="preserve">是</x:t>
        </x:is>
      </x:c>
      <x:c r="J24" s="21" t="inlineStr">
        <x:is>
          <x:t xml:space="preserve">券ID</x:t>
        </x:is>
      </x:c>
      <x:c r="K24" s="22" t="n">
        <x:v>170</x:v>
      </x:c>
      <x:c r="L24" s="22" t="n">
        <x:v>2</x:v>
      </x:c>
      <x:c r="M24" s="22" t="n">
        <x:v>5</x:v>
      </x:c>
      <x:c r="N24" s="22" t="n">
        <x:v>3</x:v>
      </x:c>
      <x:c r="O24" s="22" t="n">
        <x:v>4</x:v>
      </x:c>
      <x:c r="P24" s="22" t="n">
        <x:v>5</x:v>
      </x:c>
      <x:c r="Q24" s="23" t="n">
        <x:f>ROUND(L24*'评分规则'!$B$4+M24*'评分规则'!$B$5+N24*'评分规则'!$B$6+O24*'评分规则'!$B$7+(6-P24)*'评分规则'!$B$8,2)</x:f>
        <x:v>3.05</x:v>
      </x:c>
      <x:c r="R24" s="24" t="str">
        <x:f>IF(P24&gt;=5,"转人工/暂不自动化",IF(Q24&gt;=4.2,"MVP P0",IF(Q24&gt;=3.5,"MVP P1",IF(Q24&gt;=2.8,"二期","暂不纳入"))))</x:f>
        <x:v>转人工/暂不自动化</x:v>
      </x:c>
      <x:c r="S24" s="25" t="inlineStr">
        <x:is>
          <x:t xml:space="preserve">转人工</x:t>
        </x:is>
      </x:c>
      <x:c r="T24" s="26" t="inlineStr">
        <x:is>
          <x:t xml:space="preserve">涉及资产争议和潜在盗用，不直接下结论</x:t>
        </x:is>
      </x:c>
    </x:row>
    <x:row r="25">
      <x:c r="A25" s="15" t="inlineStr">
        <x:is>
          <x:t xml:space="preserve">CPN-09</x:t>
        </x:is>
      </x:c>
      <x:c r="B25" s="15" t="inlineStr">
        <x:is>
          <x:t xml:space="preserve">优惠券</x:t>
        </x:is>
      </x:c>
      <x:c r="C25" s="15" t="inlineStr">
        <x:is>
          <x:t xml:space="preserve">退款后的券返还</x:t>
        </x:is>
      </x:c>
      <x:c r="D25" s="15" t="inlineStr">
        <x:is>
          <x:t xml:space="preserve">用了券的订单退款，券会退吗？</x:t>
        </x:is>
      </x:c>
      <x:c r="E25" s="15" t="inlineStr">
        <x:is>
          <x:t xml:space="preserve">规则解释/异常</x:t>
        </x:is>
      </x:c>
      <x:c r="F25" s="15" t="inlineStr">
        <x:is>
          <x:t xml:space="preserve">解释规则并核对券状态</x:t>
        </x:is>
      </x:c>
      <x:c r="G25" s="15" t="inlineStr">
        <x:is>
          <x:t xml:space="preserve">订单API + 券API + RAG</x:t>
        </x:is>
      </x:c>
      <x:c r="H25" s="15" t="inlineStr">
        <x:is>
          <x:t xml:space="preserve">退款状态、券返还规则</x:t>
        </x:is>
      </x:c>
      <x:c r="I25" s="15" t="inlineStr">
        <x:is>
          <x:t xml:space="preserve">是</x:t>
        </x:is>
      </x:c>
      <x:c r="J25" s="15" t="inlineStr">
        <x:is>
          <x:t xml:space="preserve">订单号/券ID</x:t>
        </x:is>
      </x:c>
      <x:c r="K25" s="16" t="n">
        <x:v>320</x:v>
      </x:c>
      <x:c r="L25" s="16" t="n">
        <x:v>3</x:v>
      </x:c>
      <x:c r="M25" s="16" t="n">
        <x:v>4</x:v>
      </x:c>
      <x:c r="N25" s="16" t="n">
        <x:v>4</x:v>
      </x:c>
      <x:c r="O25" s="16" t="n">
        <x:v>4</x:v>
      </x:c>
      <x:c r="P25" s="16" t="n">
        <x:v>3</x:v>
      </x:c>
      <x:c r="Q25" s="17" t="n">
        <x:f>ROUND(L25*'评分规则'!$B$4+M25*'评分规则'!$B$5+N25*'评分规则'!$B$6+O25*'评分规则'!$B$7+(6-P25)*'评分规则'!$B$8,2)</x:f>
        <x:v>3.6</x:v>
      </x:c>
      <x:c r="R25" s="18" t="str">
        <x:f>IF(P25&gt;=5,"转人工/暂不自动化",IF(Q25&gt;=4.2,"MVP P0",IF(Q25&gt;=3.5,"MVP P1",IF(Q25&gt;=2.8,"二期","暂不纳入"))))</x:f>
        <x:v>MVP P1</x:v>
      </x:c>
      <x:c r="S25" s="19" t="inlineStr">
        <x:is>
          <x:t xml:space="preserve">MVP P1</x:t>
        </x:is>
      </x:c>
      <x:c r="T25" s="20" t="inlineStr">
        <x:is>
          <x:t xml:space="preserve">全退、部分退、过期券处理可能不同</x:t>
        </x:is>
      </x:c>
    </x:row>
    <x:row r="26">
      <x:c r="A26" s="21" t="inlineStr">
        <x:is>
          <x:t xml:space="preserve">CPN-10</x:t>
        </x:is>
      </x:c>
      <x:c r="B26" s="21" t="inlineStr">
        <x:is>
          <x:t xml:space="preserve">优惠券</x:t>
        </x:is>
      </x:c>
      <x:c r="C26" s="21" t="inlineStr">
        <x:is>
          <x:t xml:space="preserve">补券/赔偿请求</x:t>
        </x:is>
      </x:c>
      <x:c r="D26" s="21" t="inlineStr">
        <x:is>
          <x:t xml:space="preserve">客服能不能补我一张券？</x:t>
        </x:is>
      </x:c>
      <x:c r="E26" s="21" t="inlineStr">
        <x:is>
          <x:t xml:space="preserve">人工处理</x:t>
        </x:is>
      </x:c>
      <x:c r="F26" s="21" t="inlineStr">
        <x:is>
          <x:t xml:space="preserve">说明权限边界并转人工审批</x:t>
        </x:is>
      </x:c>
      <x:c r="G26" s="21" t="inlineStr">
        <x:is>
          <x:t xml:space="preserve">RAG + 人工工单</x:t>
        </x:is>
      </x:c>
      <x:c r="H26" s="21" t="inlineStr">
        <x:is>
          <x:t xml:space="preserve">补偿SOP、审批权限</x:t>
        </x:is>
      </x:c>
      <x:c r="I26" s="21" t="inlineStr">
        <x:is>
          <x:t xml:space="preserve">是</x:t>
        </x:is>
      </x:c>
      <x:c r="J26" s="21" t="inlineStr">
        <x:is>
          <x:t xml:space="preserve">问题经过、相关订单/活动</x:t>
        </x:is>
      </x:c>
      <x:c r="K26" s="22" t="n">
        <x:v>260</x:v>
      </x:c>
      <x:c r="L26" s="22" t="n">
        <x:v>3</x:v>
      </x:c>
      <x:c r="M26" s="22" t="n">
        <x:v>5</x:v>
      </x:c>
      <x:c r="N26" s="22" t="n">
        <x:v>2</x:v>
      </x:c>
      <x:c r="O26" s="22" t="n">
        <x:v>3</x:v>
      </x:c>
      <x:c r="P26" s="22" t="n">
        <x:v>5</x:v>
      </x:c>
      <x:c r="Q26" s="23" t="n">
        <x:f>ROUND(L26*'评分规则'!$B$4+M26*'评分规则'!$B$5+N26*'评分规则'!$B$6+O26*'评分规则'!$B$7+(6-P26)*'评分规则'!$B$8,2)</x:f>
        <x:v>2.9</x:v>
      </x:c>
      <x:c r="R26" s="24" t="str">
        <x:f>IF(P26&gt;=5,"转人工/暂不自动化",IF(Q26&gt;=4.2,"MVP P0",IF(Q26&gt;=3.5,"MVP P1",IF(Q26&gt;=2.8,"二期","暂不纳入"))))</x:f>
        <x:v>转人工/暂不自动化</x:v>
      </x:c>
      <x:c r="S26" s="25" t="inlineStr">
        <x:is>
          <x:t xml:space="preserve">转人工</x:t>
        </x:is>
      </x:c>
      <x:c r="T26" s="26" t="inlineStr">
        <x:is>
          <x:t xml:space="preserve">AI只收集上下文，不承诺、不执行补偿</x:t>
        </x:is>
      </x:c>
    </x:row>
    <x:row r="27">
      <x:c r="A27" s="27" t="inlineStr">
        <x:is>
          <x:t xml:space="preserve">LVL-01</x:t>
        </x:is>
      </x:c>
      <x:c r="B27" s="27" t="inlineStr">
        <x:is>
          <x:t xml:space="preserve">等级与成长值</x:t>
        </x:is>
      </x:c>
      <x:c r="C27" s="27" t="inlineStr">
        <x:is>
          <x:t xml:space="preserve">当前等级查询</x:t>
        </x:is>
      </x:c>
      <x:c r="D27" s="27" t="inlineStr">
        <x:is>
          <x:t xml:space="preserve">我现在是什么会员等级？</x:t>
        </x:is>
      </x:c>
      <x:c r="E27" s="27" t="inlineStr">
        <x:is>
          <x:t xml:space="preserve">资产查询</x:t>
        </x:is>
      </x:c>
      <x:c r="F27" s="27" t="inlineStr">
        <x:is>
          <x:t xml:space="preserve">返回等级、有效期和主要权益入口</x:t>
        </x:is>
      </x:c>
      <x:c r="G27" s="27" t="inlineStr">
        <x:is>
          <x:t xml:space="preserve">会员等级API</x:t>
        </x:is>
      </x:c>
      <x:c r="H27" s="27" t="inlineStr">
        <x:is>
          <x:t xml:space="preserve">当前等级、有效期、会员类型</x:t>
        </x:is>
      </x:c>
      <x:c r="I27" s="27" t="inlineStr">
        <x:is>
          <x:t xml:space="preserve">是</x:t>
        </x:is>
      </x:c>
      <x:c r="J27" s="27" t="inlineStr">
        <x:is>
          <x:t xml:space="preserve">无需</x:t>
        </x:is>
      </x:c>
      <x:c r="K27" s="28" t="n">
        <x:v>920</x:v>
      </x:c>
      <x:c r="L27" s="28" t="n">
        <x:v>4</x:v>
      </x:c>
      <x:c r="M27" s="28" t="n">
        <x:v>4</x:v>
      </x:c>
      <x:c r="N27" s="28" t="n">
        <x:v>5</x:v>
      </x:c>
      <x:c r="O27" s="28" t="n">
        <x:v>5</x:v>
      </x:c>
      <x:c r="P27" s="28" t="n">
        <x:v>2</x:v>
      </x:c>
      <x:c r="Q27" s="29" t="n">
        <x:f>ROUND(L27*'评分规则'!$B$4+M27*'评分规则'!$B$5+N27*'评分规则'!$B$6+O27*'评分规则'!$B$7+(6-P27)*'评分规则'!$B$8,2)</x:f>
        <x:v>4.4</x:v>
      </x:c>
      <x:c r="R27" s="30" t="str">
        <x:f>IF(P27&gt;=5,"转人工/暂不自动化",IF(Q27&gt;=4.2,"MVP P0",IF(Q27&gt;=3.5,"MVP P1",IF(Q27&gt;=2.8,"二期","暂不纳入"))))</x:f>
        <x:v>MVP P0</x:v>
      </x:c>
      <x:c r="S27" s="31" t="inlineStr">
        <x:is>
          <x:t xml:space="preserve">MVP P0</x:t>
        </x:is>
      </x:c>
      <x:c r="T27" s="32" t="inlineStr">
        <x:is>
          <x:t xml:space="preserve">付费会员与成长会员可能并存，需要分别展示</x:t>
        </x:is>
      </x:c>
    </x:row>
    <x:row r="28">
      <x:c r="A28" s="27" t="inlineStr">
        <x:is>
          <x:t xml:space="preserve">LVL-02</x:t>
        </x:is>
      </x:c>
      <x:c r="B28" s="27" t="inlineStr">
        <x:is>
          <x:t xml:space="preserve">等级与成长值</x:t>
        </x:is>
      </x:c>
      <x:c r="C28" s="27" t="inlineStr">
        <x:is>
          <x:t xml:space="preserve">成长值查询</x:t>
        </x:is>
      </x:c>
      <x:c r="D28" s="27" t="inlineStr">
        <x:is>
          <x:t xml:space="preserve">我还差多少成长值升级？</x:t>
        </x:is>
      </x:c>
      <x:c r="E28" s="27" t="inlineStr">
        <x:is>
          <x:t xml:space="preserve">资产查询</x:t>
        </x:is>
      </x:c>
      <x:c r="F28" s="27" t="inlineStr">
        <x:is>
          <x:t xml:space="preserve">返回成长值、升级差额和有效规则</x:t>
        </x:is>
      </x:c>
      <x:c r="G28" s="27" t="inlineStr">
        <x:is>
          <x:t xml:space="preserve">成长值API + RAG</x:t>
        </x:is>
      </x:c>
      <x:c r="H28" s="27" t="inlineStr">
        <x:is>
          <x:t xml:space="preserve">成长值、等级门槛、有效期</x:t>
        </x:is>
      </x:c>
      <x:c r="I28" s="27" t="inlineStr">
        <x:is>
          <x:t xml:space="preserve">是</x:t>
        </x:is>
      </x:c>
      <x:c r="J28" s="27" t="inlineStr">
        <x:is>
          <x:t xml:space="preserve">无需</x:t>
        </x:is>
      </x:c>
      <x:c r="K28" s="28" t="n">
        <x:v>780</x:v>
      </x:c>
      <x:c r="L28" s="28" t="n">
        <x:v>4</x:v>
      </x:c>
      <x:c r="M28" s="28" t="n">
        <x:v>4</x:v>
      </x:c>
      <x:c r="N28" s="28" t="n">
        <x:v>5</x:v>
      </x:c>
      <x:c r="O28" s="28" t="n">
        <x:v>5</x:v>
      </x:c>
      <x:c r="P28" s="28" t="n">
        <x:v>2</x:v>
      </x:c>
      <x:c r="Q28" s="29" t="n">
        <x:f>ROUND(L28*'评分规则'!$B$4+M28*'评分规则'!$B$5+N28*'评分规则'!$B$6+O28*'评分规则'!$B$7+(6-P28)*'评分规则'!$B$8,2)</x:f>
        <x:v>4.4</x:v>
      </x:c>
      <x:c r="R28" s="30" t="str">
        <x:f>IF(P28&gt;=5,"转人工/暂不自动化",IF(Q28&gt;=4.2,"MVP P0",IF(Q28&gt;=3.5,"MVP P1",IF(Q28&gt;=2.8,"二期","暂不纳入"))))</x:f>
        <x:v>MVP P0</x:v>
      </x:c>
      <x:c r="S28" s="31" t="inlineStr">
        <x:is>
          <x:t xml:space="preserve">MVP P0</x:t>
        </x:is>
      </x:c>
      <x:c r="T28" s="32" t="inlineStr">
        <x:is>
          <x:t xml:space="preserve">差额由系统计算，不让模型口算关键阈值</x:t>
        </x:is>
      </x:c>
    </x:row>
    <x:row r="29">
      <x:c r="A29" s="27" t="inlineStr">
        <x:is>
          <x:t xml:space="preserve">LVL-03</x:t>
        </x:is>
      </x:c>
      <x:c r="B29" s="27" t="inlineStr">
        <x:is>
          <x:t xml:space="preserve">等级与成长值</x:t>
        </x:is>
      </x:c>
      <x:c r="C29" s="27" t="inlineStr">
        <x:is>
          <x:t xml:space="preserve">升级/保级规则</x:t>
        </x:is>
      </x:c>
      <x:c r="D29" s="27" t="inlineStr">
        <x:is>
          <x:t xml:space="preserve">怎么才能升到金卡？</x:t>
        </x:is>
      </x:c>
      <x:c r="E29" s="27" t="inlineStr">
        <x:is>
          <x:t xml:space="preserve">规则解释</x:t>
        </x:is>
      </x:c>
      <x:c r="F29" s="27" t="inlineStr">
        <x:is>
          <x:t xml:space="preserve">解释门槛、周期和排除项</x:t>
        </x:is>
      </x:c>
      <x:c r="G29" s="27" t="inlineStr">
        <x:is>
          <x:t xml:space="preserve">RAG</x:t>
        </x:is>
      </x:c>
      <x:c r="H29" s="27" t="inlineStr">
        <x:is>
          <x:t xml:space="preserve">等级规则、统计周期、生效时间</x:t>
        </x:is>
      </x:c>
      <x:c r="I29" s="27" t="inlineStr">
        <x:is>
          <x:t xml:space="preserve">否</x:t>
        </x:is>
      </x:c>
      <x:c r="J29" s="27" t="inlineStr">
        <x:is>
          <x:t xml:space="preserve">国家、会员体系</x:t>
        </x:is>
      </x:c>
      <x:c r="K29" s="28" t="n">
        <x:v>860</x:v>
      </x:c>
      <x:c r="L29" s="28" t="n">
        <x:v>4</x:v>
      </x:c>
      <x:c r="M29" s="28" t="n">
        <x:v>4</x:v>
      </x:c>
      <x:c r="N29" s="28" t="n">
        <x:v>5</x:v>
      </x:c>
      <x:c r="O29" s="28" t="n">
        <x:v>5</x:v>
      </x:c>
      <x:c r="P29" s="28" t="n">
        <x:v>2</x:v>
      </x:c>
      <x:c r="Q29" s="29" t="n">
        <x:f>ROUND(L29*'评分规则'!$B$4+M29*'评分规则'!$B$5+N29*'评分规则'!$B$6+O29*'评分规则'!$B$7+(6-P29)*'评分规则'!$B$8,2)</x:f>
        <x:v>4.4</x:v>
      </x:c>
      <x:c r="R29" s="30" t="str">
        <x:f>IF(P29&gt;=5,"转人工/暂不自动化",IF(Q29&gt;=4.2,"MVP P0",IF(Q29&gt;=3.5,"MVP P1",IF(Q29&gt;=2.8,"二期","暂不纳入"))))</x:f>
        <x:v>MVP P0</x:v>
      </x:c>
      <x:c r="S29" s="31" t="inlineStr">
        <x:is>
          <x:t xml:space="preserve">MVP P0</x:t>
        </x:is>
      </x:c>
      <x:c r="T29" s="32" t="inlineStr">
        <x:is>
          <x:t xml:space="preserve">新旧等级规则并存时必须按生效日期过滤</x:t>
        </x:is>
      </x:c>
    </x:row>
    <x:row r="30">
      <x:c r="A30" s="15" t="inlineStr">
        <x:is>
          <x:t xml:space="preserve">LVL-04</x:t>
        </x:is>
      </x:c>
      <x:c r="B30" s="15" t="inlineStr">
        <x:is>
          <x:t xml:space="preserve">等级与成长值</x:t>
        </x:is>
      </x:c>
      <x:c r="C30" s="15" t="inlineStr">
        <x:is>
          <x:t xml:space="preserve">成长值未到账</x:t>
        </x:is>
      </x:c>
      <x:c r="D30" s="15" t="inlineStr">
        <x:is>
          <x:t xml:space="preserve">消费后成长值没增加</x:t>
        </x:is>
      </x:c>
      <x:c r="E30" s="15" t="inlineStr">
        <x:is>
          <x:t xml:space="preserve">异常诊断</x:t>
        </x:is>
      </x:c>
      <x:c r="F30" s="15" t="inlineStr">
        <x:is>
          <x:t xml:space="preserve">查询订单与成长值流水判断原因</x:t>
        </x:is>
      </x:c>
      <x:c r="G30" s="15" t="inlineStr">
        <x:is>
          <x:t xml:space="preserve">订单API + 成长值API + RAG + 工作流</x:t>
        </x:is>
      </x:c>
      <x:c r="H30" s="15" t="inlineStr">
        <x:is>
          <x:t xml:space="preserve">订单状态、成长值流水、排除规则</x:t>
        </x:is>
      </x:c>
      <x:c r="I30" s="15" t="inlineStr">
        <x:is>
          <x:t xml:space="preserve">是</x:t>
        </x:is>
      </x:c>
      <x:c r="J30" s="15" t="inlineStr">
        <x:is>
          <x:t xml:space="preserve">订单/消费时间</x:t>
        </x:is>
      </x:c>
      <x:c r="K30" s="16" t="n">
        <x:v>440</x:v>
      </x:c>
      <x:c r="L30" s="16" t="n">
        <x:v>3</x:v>
      </x:c>
      <x:c r="M30" s="16" t="n">
        <x:v>4</x:v>
      </x:c>
      <x:c r="N30" s="16" t="n">
        <x:v>4</x:v>
      </x:c>
      <x:c r="O30" s="16" t="n">
        <x:v>4</x:v>
      </x:c>
      <x:c r="P30" s="16" t="n">
        <x:v>4</x:v>
      </x:c>
      <x:c r="Q30" s="17" t="n">
        <x:f>ROUND(L30*'评分规则'!$B$4+M30*'评分规则'!$B$5+N30*'评分规则'!$B$6+O30*'评分规则'!$B$7+(6-P30)*'评分规则'!$B$8,2)</x:f>
        <x:v>3.45</x:v>
      </x:c>
      <x:c r="R30" s="18" t="str">
        <x:f>IF(P30&gt;=5,"转人工/暂不自动化",IF(Q30&gt;=4.2,"MVP P0",IF(Q30&gt;=3.5,"MVP P1",IF(Q30&gt;=2.8,"二期","暂不纳入"))))</x:f>
        <x:v>二期</x:v>
      </x:c>
      <x:c r="S30" s="19" t="inlineStr">
        <x:is>
          <x:t xml:space="preserve">MVP P1</x:t>
        </x:is>
      </x:c>
      <x:c r="T30" s="20" t="inlineStr">
        <x:is>
          <x:t xml:space="preserve">处理逻辑与积分相似但规则不可混用</x:t>
        </x:is>
      </x:c>
    </x:row>
    <x:row r="31">
      <x:c r="A31" s="15" t="inlineStr">
        <x:is>
          <x:t xml:space="preserve">LVL-05</x:t>
        </x:is>
      </x:c>
      <x:c r="B31" s="15" t="inlineStr">
        <x:is>
          <x:t xml:space="preserve">等级与成长值</x:t>
        </x:is>
      </x:c>
      <x:c r="C31" s="15" t="inlineStr">
        <x:is>
          <x:t xml:space="preserve">降级/等级失效</x:t>
        </x:is>
      </x:c>
      <x:c r="D31" s="15" t="inlineStr">
        <x:is>
          <x:t xml:space="preserve">我怎么从金卡掉到银卡了？</x:t>
        </x:is>
      </x:c>
      <x:c r="E31" s="15" t="inlineStr">
        <x:is>
          <x:t xml:space="preserve">异常诊断</x:t>
        </x:is>
      </x:c>
      <x:c r="F31" s="15" t="inlineStr">
        <x:is>
          <x:t xml:space="preserve">核对周期、保级条件和等级变更记录</x:t>
        </x:is>
      </x:c>
      <x:c r="G31" s="15" t="inlineStr">
        <x:is>
          <x:t xml:space="preserve">等级API + RAG + 工作流</x:t>
        </x:is>
      </x:c>
      <x:c r="H31" s="15" t="inlineStr">
        <x:is>
          <x:t xml:space="preserve">等级历史、保级规则、周期</x:t>
        </x:is>
      </x:c>
      <x:c r="I31" s="15" t="inlineStr">
        <x:is>
          <x:t xml:space="preserve">是</x:t>
        </x:is>
      </x:c>
      <x:c r="J31" s="15" t="inlineStr">
        <x:is>
          <x:t xml:space="preserve">发现时间</x:t>
        </x:is>
      </x:c>
      <x:c r="K31" s="16" t="n">
        <x:v>360</x:v>
      </x:c>
      <x:c r="L31" s="16" t="n">
        <x:v>3</x:v>
      </x:c>
      <x:c r="M31" s="16" t="n">
        <x:v>5</x:v>
      </x:c>
      <x:c r="N31" s="16" t="n">
        <x:v>4</x:v>
      </x:c>
      <x:c r="O31" s="16" t="n">
        <x:v>5</x:v>
      </x:c>
      <x:c r="P31" s="16" t="n">
        <x:v>4</x:v>
      </x:c>
      <x:c r="Q31" s="17" t="n">
        <x:f>ROUND(L31*'评分规则'!$B$4+M31*'评分规则'!$B$5+N31*'评分规则'!$B$6+O31*'评分规则'!$B$7+(6-P31)*'评分规则'!$B$8,2)</x:f>
        <x:v>3.85</x:v>
      </x:c>
      <x:c r="R31" s="18" t="str">
        <x:f>IF(P31&gt;=5,"转人工/暂不自动化",IF(Q31&gt;=4.2,"MVP P0",IF(Q31&gt;=3.5,"MVP P1",IF(Q31&gt;=2.8,"二期","暂不纳入"))))</x:f>
        <x:v>MVP P1</x:v>
      </x:c>
      <x:c r="S31" s="19" t="inlineStr">
        <x:is>
          <x:t xml:space="preserve">MVP P1</x:t>
        </x:is>
      </x:c>
      <x:c r="T31" s="20" t="inlineStr">
        <x:is>
          <x:t xml:space="preserve">规则解释要结合会员实际等级历史</x:t>
        </x:is>
      </x:c>
    </x:row>
    <x:row r="32">
      <x:c r="A32" s="15" t="inlineStr">
        <x:is>
          <x:t xml:space="preserve">LVL-06</x:t>
        </x:is>
      </x:c>
      <x:c r="B32" s="15" t="inlineStr">
        <x:is>
          <x:t xml:space="preserve">等级与成长值</x:t>
        </x:is>
      </x:c>
      <x:c r="C32" s="15" t="inlineStr">
        <x:is>
          <x:t xml:space="preserve">付费会员购买/续费</x:t>
        </x:is>
      </x:c>
      <x:c r="D32" s="15" t="inlineStr">
        <x:is>
          <x:t xml:space="preserve">我的付费会员什么时候到期？怎么续？</x:t>
        </x:is>
      </x:c>
      <x:c r="E32" s="15" t="inlineStr">
        <x:is>
          <x:t xml:space="preserve">资产查询/规则</x:t>
        </x:is>
      </x:c>
      <x:c r="F32" s="15" t="inlineStr">
        <x:is>
          <x:t xml:space="preserve">返回到期时间并引导续费入口</x:t>
        </x:is>
      </x:c>
      <x:c r="G32" s="15" t="inlineStr">
        <x:is>
          <x:t xml:space="preserve">付费会员API + RAG</x:t>
        </x:is>
      </x:c>
      <x:c r="H32" s="15" t="inlineStr">
        <x:is>
          <x:t xml:space="preserve">订阅状态、续费规则、退款规则</x:t>
        </x:is>
      </x:c>
      <x:c r="I32" s="15" t="inlineStr">
        <x:is>
          <x:t xml:space="preserve">是</x:t>
        </x:is>
      </x:c>
      <x:c r="J32" s="15" t="inlineStr">
        <x:is>
          <x:t xml:space="preserve">无需</x:t>
        </x:is>
      </x:c>
      <x:c r="K32" s="16" t="n">
        <x:v>380</x:v>
      </x:c>
      <x:c r="L32" s="16" t="n">
        <x:v>3</x:v>
      </x:c>
      <x:c r="M32" s="16" t="n">
        <x:v>4</x:v>
      </x:c>
      <x:c r="N32" s="16" t="n">
        <x:v>5</x:v>
      </x:c>
      <x:c r="O32" s="16" t="n">
        <x:v>4</x:v>
      </x:c>
      <x:c r="P32" s="16" t="n">
        <x:v>3</x:v>
      </x:c>
      <x:c r="Q32" s="17" t="n">
        <x:f>ROUND(L32*'评分规则'!$B$4+M32*'评分规则'!$B$5+N32*'评分规则'!$B$6+O32*'评分规则'!$B$7+(6-P32)*'评分规则'!$B$8,2)</x:f>
        <x:v>3.8</x:v>
      </x:c>
      <x:c r="R32" s="18" t="str">
        <x:f>IF(P32&gt;=5,"转人工/暂不自动化",IF(Q32&gt;=4.2,"MVP P0",IF(Q32&gt;=3.5,"MVP P1",IF(Q32&gt;=2.8,"二期","暂不纳入"))))</x:f>
        <x:v>MVP P1</x:v>
      </x:c>
      <x:c r="S32" s="19" t="inlineStr">
        <x:is>
          <x:t xml:space="preserve">MVP P1</x:t>
        </x:is>
      </x:c>
      <x:c r="T32" s="20" t="inlineStr">
        <x:is>
          <x:t xml:space="preserve">自动续费和退款争议不在AI自动处理范围</x:t>
        </x:is>
      </x:c>
    </x:row>
    <x:row r="33">
      <x:c r="A33" s="27" t="inlineStr">
        <x:is>
          <x:t xml:space="preserve">BEN-01</x:t>
        </x:is>
      </x:c>
      <x:c r="B33" s="27" t="inlineStr">
        <x:is>
          <x:t xml:space="preserve">会员权益</x:t>
        </x:is>
      </x:c>
      <x:c r="C33" s="27" t="inlineStr">
        <x:is>
          <x:t xml:space="preserve">当前可用权益查询</x:t>
        </x:is>
      </x:c>
      <x:c r="D33" s="27" t="inlineStr">
        <x:is>
          <x:t xml:space="preserve">我这个等级都有什么权益？</x:t>
        </x:is>
      </x:c>
      <x:c r="E33" s="27" t="inlineStr">
        <x:is>
          <x:t xml:space="preserve">资产查询/规则</x:t>
        </x:is>
      </x:c>
      <x:c r="F33" s="27" t="inlineStr">
        <x:is>
          <x:t xml:space="preserve">展示当前等级对应权益与领取状态</x:t>
        </x:is>
      </x:c>
      <x:c r="G33" s="27" t="inlineStr">
        <x:is>
          <x:t xml:space="preserve">等级API + 权益API + RAG</x:t>
        </x:is>
      </x:c>
      <x:c r="H33" s="27" t="inlineStr">
        <x:is>
          <x:t xml:space="preserve">权益清单、领取/使用状态</x:t>
        </x:is>
      </x:c>
      <x:c r="I33" s="27" t="inlineStr">
        <x:is>
          <x:t xml:space="preserve">是</x:t>
        </x:is>
      </x:c>
      <x:c r="J33" s="27" t="inlineStr">
        <x:is>
          <x:t xml:space="preserve">无需</x:t>
        </x:is>
      </x:c>
      <x:c r="K33" s="28" t="n">
        <x:v>740</x:v>
      </x:c>
      <x:c r="L33" s="28" t="n">
        <x:v>4</x:v>
      </x:c>
      <x:c r="M33" s="28" t="n">
        <x:v>4</x:v>
      </x:c>
      <x:c r="N33" s="28" t="n">
        <x:v>5</x:v>
      </x:c>
      <x:c r="O33" s="28" t="n">
        <x:v>5</x:v>
      </x:c>
      <x:c r="P33" s="28" t="n">
        <x:v>2</x:v>
      </x:c>
      <x:c r="Q33" s="29" t="n">
        <x:f>ROUND(L33*'评分规则'!$B$4+M33*'评分规则'!$B$5+N33*'评分规则'!$B$6+O33*'评分规则'!$B$7+(6-P33)*'评分规则'!$B$8,2)</x:f>
        <x:v>4.4</x:v>
      </x:c>
      <x:c r="R33" s="30" t="str">
        <x:f>IF(P33&gt;=5,"转人工/暂不自动化",IF(Q33&gt;=4.2,"MVP P0",IF(Q33&gt;=3.5,"MVP P1",IF(Q33&gt;=2.8,"二期","暂不纳入"))))</x:f>
        <x:v>MVP P0</x:v>
      </x:c>
      <x:c r="S33" s="31" t="inlineStr">
        <x:is>
          <x:t xml:space="preserve">MVP P0</x:t>
        </x:is>
      </x:c>
      <x:c r="T33" s="32" t="inlineStr">
        <x:is>
          <x:t xml:space="preserve">区分“等级应享权益”和“已发到账号的权益实例”</x:t>
        </x:is>
      </x:c>
    </x:row>
    <x:row r="34">
      <x:c r="A34" s="27" t="inlineStr">
        <x:is>
          <x:t xml:space="preserve">BEN-02</x:t>
        </x:is>
      </x:c>
      <x:c r="B34" s="27" t="inlineStr">
        <x:is>
          <x:t xml:space="preserve">会员权益</x:t>
        </x:is>
      </x:c>
      <x:c r="C34" s="27" t="inlineStr">
        <x:is>
          <x:t xml:space="preserve">生日礼规则</x:t>
        </x:is>
      </x:c>
      <x:c r="D34" s="27" t="inlineStr">
        <x:is>
          <x:t xml:space="preserve">生日礼怎么领？</x:t>
        </x:is>
      </x:c>
      <x:c r="E34" s="27" t="inlineStr">
        <x:is>
          <x:t xml:space="preserve">规则解释</x:t>
        </x:is>
      </x:c>
      <x:c r="F34" s="27" t="inlineStr">
        <x:is>
          <x:t xml:space="preserve">解释资格、发放时间、领取和使用规则</x:t>
        </x:is>
      </x:c>
      <x:c r="G34" s="27" t="inlineStr">
        <x:is>
          <x:t xml:space="preserve">RAG</x:t>
        </x:is>
      </x:c>
      <x:c r="H34" s="27" t="inlineStr">
        <x:is>
          <x:t xml:space="preserve">生日礼规则、会员生日信息要求</x:t>
        </x:is>
      </x:c>
      <x:c r="I34" s="27" t="inlineStr">
        <x:is>
          <x:t xml:space="preserve">否</x:t>
        </x:is>
      </x:c>
      <x:c r="J34" s="27" t="inlineStr">
        <x:is>
          <x:t xml:space="preserve">国家、等级；必要时登录</x:t>
        </x:is>
      </x:c>
      <x:c r="K34" s="28" t="n">
        <x:v>960</x:v>
      </x:c>
      <x:c r="L34" s="28" t="n">
        <x:v>4</x:v>
      </x:c>
      <x:c r="M34" s="28" t="n">
        <x:v>4</x:v>
      </x:c>
      <x:c r="N34" s="28" t="n">
        <x:v>5</x:v>
      </x:c>
      <x:c r="O34" s="28" t="n">
        <x:v>5</x:v>
      </x:c>
      <x:c r="P34" s="28" t="n">
        <x:v>2</x:v>
      </x:c>
      <x:c r="Q34" s="29" t="n">
        <x:f>ROUND(L34*'评分规则'!$B$4+M34*'评分规则'!$B$5+N34*'评分规则'!$B$6+O34*'评分规则'!$B$7+(6-P34)*'评分规则'!$B$8,2)</x:f>
        <x:v>4.4</x:v>
      </x:c>
      <x:c r="R34" s="30" t="str">
        <x:f>IF(P34&gt;=5,"转人工/暂不自动化",IF(Q34&gt;=4.2,"MVP P0",IF(Q34&gt;=3.5,"MVP P1",IF(Q34&gt;=2.8,"二期","暂不纳入"))))</x:f>
        <x:v>MVP P0</x:v>
      </x:c>
      <x:c r="S34" s="31" t="inlineStr">
        <x:is>
          <x:t xml:space="preserve">MVP P0</x:t>
        </x:is>
      </x:c>
      <x:c r="T34" s="32" t="inlineStr">
        <x:is>
          <x:t xml:space="preserve">规则可能与生日修改时间、注册时间有关</x:t>
        </x:is>
      </x:c>
    </x:row>
    <x:row r="35">
      <x:c r="A35" s="27" t="inlineStr">
        <x:is>
          <x:t xml:space="preserve">BEN-03</x:t>
        </x:is>
      </x:c>
      <x:c r="B35" s="27" t="inlineStr">
        <x:is>
          <x:t xml:space="preserve">会员权益</x:t>
        </x:is>
      </x:c>
      <x:c r="C35" s="27" t="inlineStr">
        <x:is>
          <x:t xml:space="preserve">生日礼未发</x:t>
        </x:is>
      </x:c>
      <x:c r="D35" s="27" t="inlineStr">
        <x:is>
          <x:t xml:space="preserve">生日到了为什么没有生日礼？</x:t>
        </x:is>
      </x:c>
      <x:c r="E35" s="27" t="inlineStr">
        <x:is>
          <x:t xml:space="preserve">异常诊断</x:t>
        </x:is>
      </x:c>
      <x:c r="F35" s="27" t="inlineStr">
        <x:is>
          <x:t xml:space="preserve">核对生日、等级、资格和发放记录</x:t>
        </x:is>
      </x:c>
      <x:c r="G35" s="27" t="inlineStr">
        <x:is>
          <x:t xml:space="preserve">会员API + 权益API + RAG + 工作流</x:t>
        </x:is>
      </x:c>
      <x:c r="H35" s="27" t="inlineStr">
        <x:is>
          <x:t xml:space="preserve">生日字段、等级、资格、发放任务</x:t>
        </x:is>
      </x:c>
      <x:c r="I35" s="27" t="inlineStr">
        <x:is>
          <x:t xml:space="preserve">是</x:t>
        </x:is>
      </x:c>
      <x:c r="J35" s="27" t="inlineStr">
        <x:is>
          <x:t xml:space="preserve">生日月份/具体权益</x:t>
        </x:is>
      </x:c>
      <x:c r="K35" s="28" t="n">
        <x:v>860</x:v>
      </x:c>
      <x:c r="L35" s="28" t="n">
        <x:v>4</x:v>
      </x:c>
      <x:c r="M35" s="28" t="n">
        <x:v>5</x:v>
      </x:c>
      <x:c r="N35" s="28" t="n">
        <x:v>4</x:v>
      </x:c>
      <x:c r="O35" s="28" t="n">
        <x:v>4</x:v>
      </x:c>
      <x:c r="P35" s="28" t="n">
        <x:v>4</x:v>
      </x:c>
      <x:c r="Q35" s="29" t="n">
        <x:f>ROUND(L35*'评分规则'!$B$4+M35*'评分规则'!$B$5+N35*'评分规则'!$B$6+O35*'评分规则'!$B$7+(6-P35)*'评分规则'!$B$8,2)</x:f>
        <x:v>3.9</x:v>
      </x:c>
      <x:c r="R35" s="30" t="str">
        <x:f>IF(P35&gt;=5,"转人工/暂不自动化",IF(Q35&gt;=4.2,"MVP P0",IF(Q35&gt;=3.5,"MVP P1",IF(Q35&gt;=2.8,"二期","暂不纳入"))))</x:f>
        <x:v>MVP P1</x:v>
      </x:c>
      <x:c r="S35" s="31" t="inlineStr">
        <x:is>
          <x:t xml:space="preserve">MVP P0</x:t>
        </x:is>
      </x:c>
      <x:c r="T35" s="32" t="inlineStr">
        <x:is>
          <x:t xml:space="preserve">若生日信息不完整，应引导补充而非直接判定系统错误</x:t>
        </x:is>
      </x:c>
    </x:row>
    <x:row r="36">
      <x:c r="A36" s="27" t="inlineStr">
        <x:is>
          <x:t xml:space="preserve">BEN-04</x:t>
        </x:is>
      </x:c>
      <x:c r="B36" s="27" t="inlineStr">
        <x:is>
          <x:t xml:space="preserve">会员权益</x:t>
        </x:is>
      </x:c>
      <x:c r="C36" s="27" t="inlineStr">
        <x:is>
          <x:t xml:space="preserve">会员折扣未生效</x:t>
        </x:is>
      </x:c>
      <x:c r="D36" s="27" t="inlineStr">
        <x:is>
          <x:t xml:space="preserve">我是会员，结账为什么没打折？</x:t>
        </x:is>
      </x:c>
      <x:c r="E36" s="27" t="inlineStr">
        <x:is>
          <x:t xml:space="preserve">异常诊断</x:t>
        </x:is>
      </x:c>
      <x:c r="F36" s="27" t="inlineStr">
        <x:is>
          <x:t xml:space="preserve">核对身份识别、等级、商品和门店规则</x:t>
        </x:is>
      </x:c>
      <x:c r="G36" s="27" t="inlineStr">
        <x:is>
          <x:t xml:space="preserve">会员API + 订单/购物车API + RAG + 工作流</x:t>
        </x:is>
      </x:c>
      <x:c r="H36" s="27" t="inlineStr">
        <x:is>
          <x:t xml:space="preserve">会员等级、商品排除、门店活动、折扣优先级</x:t>
        </x:is>
      </x:c>
      <x:c r="I36" s="27" t="inlineStr">
        <x:is>
          <x:t xml:space="preserve">是</x:t>
        </x:is>
      </x:c>
      <x:c r="J36" s="27" t="inlineStr">
        <x:is>
          <x:t xml:space="preserve">门店/订单或商品</x:t>
        </x:is>
      </x:c>
      <x:c r="K36" s="28" t="n">
        <x:v>1260</x:v>
      </x:c>
      <x:c r="L36" s="28" t="n">
        <x:v>5</x:v>
      </x:c>
      <x:c r="M36" s="28" t="n">
        <x:v>5</x:v>
      </x:c>
      <x:c r="N36" s="28" t="n">
        <x:v>4</x:v>
      </x:c>
      <x:c r="O36" s="28" t="n">
        <x:v>4</x:v>
      </x:c>
      <x:c r="P36" s="28" t="n">
        <x:v>4</x:v>
      </x:c>
      <x:c r="Q36" s="29" t="n">
        <x:f>ROUND(L36*'评分规则'!$B$4+M36*'评分规则'!$B$5+N36*'评分规则'!$B$6+O36*'评分规则'!$B$7+(6-P36)*'评分规则'!$B$8,2)</x:f>
        <x:v>4.15</x:v>
      </x:c>
      <x:c r="R36" s="30" t="str">
        <x:f>IF(P36&gt;=5,"转人工/暂不自动化",IF(Q36&gt;=4.2,"MVP P0",IF(Q36&gt;=3.5,"MVP P1",IF(Q36&gt;=2.8,"二期","暂不纳入"))))</x:f>
        <x:v>MVP P1</x:v>
      </x:c>
      <x:c r="S36" s="31" t="inlineStr">
        <x:is>
          <x:t xml:space="preserve">MVP P0</x:t>
        </x:is>
      </x:c>
      <x:c r="T36" s="32" t="inlineStr">
        <x:is>
          <x:t xml:space="preserve">高频且影响结算体验，需给出明确原因和下一步</x:t>
        </x:is>
      </x:c>
    </x:row>
    <x:row r="37">
      <x:c r="A37" s="15" t="inlineStr">
        <x:is>
          <x:t xml:space="preserve">BEN-05</x:t>
        </x:is>
      </x:c>
      <x:c r="B37" s="15" t="inlineStr">
        <x:is>
          <x:t xml:space="preserve">会员权益</x:t>
        </x:is>
      </x:c>
      <x:c r="C37" s="15" t="inlineStr">
        <x:is>
          <x:t xml:space="preserve">权益领取/核销记录</x:t>
        </x:is>
      </x:c>
      <x:c r="D37" s="15" t="inlineStr">
        <x:is>
          <x:t xml:space="preserve">我上个月的免费体验券用过了吗？</x:t>
        </x:is>
      </x:c>
      <x:c r="E37" s="15" t="inlineStr">
        <x:is>
          <x:t xml:space="preserve">资产查询</x:t>
        </x:is>
      </x:c>
      <x:c r="F37" s="15" t="inlineStr">
        <x:is>
          <x:t xml:space="preserve">查询权益领取与核销记录</x:t>
        </x:is>
      </x:c>
      <x:c r="G37" s="15" t="inlineStr">
        <x:is>
          <x:t xml:space="preserve">权益账户API</x:t>
        </x:is>
      </x:c>
      <x:c r="H37" s="15" t="inlineStr">
        <x:is>
          <x:t xml:space="preserve">权益实例、领取时间、核销记录</x:t>
        </x:is>
      </x:c>
      <x:c r="I37" s="15" t="inlineStr">
        <x:is>
          <x:t xml:space="preserve">是</x:t>
        </x:is>
      </x:c>
      <x:c r="J37" s="15" t="inlineStr">
        <x:is>
          <x:t xml:space="preserve">具体权益/时间范围</x:t>
        </x:is>
      </x:c>
      <x:c r="K37" s="16" t="n">
        <x:v>230</x:v>
      </x:c>
      <x:c r="L37" s="16" t="n">
        <x:v>2</x:v>
      </x:c>
      <x:c r="M37" s="16" t="n">
        <x:v>3</x:v>
      </x:c>
      <x:c r="N37" s="16" t="n">
        <x:v>5</x:v>
      </x:c>
      <x:c r="O37" s="16" t="n">
        <x:v>5</x:v>
      </x:c>
      <x:c r="P37" s="16" t="n">
        <x:v>3</x:v>
      </x:c>
      <x:c r="Q37" s="17" t="n">
        <x:f>ROUND(L37*'评分规则'!$B$4+M37*'评分规则'!$B$5+N37*'评分规则'!$B$6+O37*'评分规则'!$B$7+(6-P37)*'评分规则'!$B$8,2)</x:f>
        <x:v>3.55</x:v>
      </x:c>
      <x:c r="R37" s="18" t="str">
        <x:f>IF(P37&gt;=5,"转人工/暂不自动化",IF(Q37&gt;=4.2,"MVP P0",IF(Q37&gt;=3.5,"MVP P1",IF(Q37&gt;=2.8,"二期","暂不纳入"))))</x:f>
        <x:v>MVP P1</x:v>
      </x:c>
      <x:c r="S37" s="19" t="inlineStr">
        <x:is>
          <x:t xml:space="preserve">MVP P1</x:t>
        </x:is>
      </x:c>
      <x:c r="T37" s="20" t="inlineStr">
        <x:is>
          <x:t xml:space="preserve">只返回当前账号记录</x:t>
        </x:is>
      </x:c>
    </x:row>
    <x:row r="38">
      <x:c r="A38" s="21" t="inlineStr">
        <x:is>
          <x:t xml:space="preserve">BEN-06</x:t>
        </x:is>
      </x:c>
      <x:c r="B38" s="21" t="inlineStr">
        <x:is>
          <x:t xml:space="preserve">会员权益</x:t>
        </x:is>
      </x:c>
      <x:c r="C38" s="21" t="inlineStr">
        <x:is>
          <x:t xml:space="preserve">权益补发/补偿</x:t>
        </x:is>
      </x:c>
      <x:c r="D38" s="21" t="inlineStr">
        <x:is>
          <x:t xml:space="preserve">会员权益没用到，能补吗？</x:t>
        </x:is>
      </x:c>
      <x:c r="E38" s="21" t="inlineStr">
        <x:is>
          <x:t xml:space="preserve">人工处理</x:t>
        </x:is>
      </x:c>
      <x:c r="F38" s="21" t="inlineStr">
        <x:is>
          <x:t xml:space="preserve">解释规则并转人工审批</x:t>
        </x:is>
      </x:c>
      <x:c r="G38" s="21" t="inlineStr">
        <x:is>
          <x:t xml:space="preserve">RAG + 人工工单</x:t>
        </x:is>
      </x:c>
      <x:c r="H38" s="21" t="inlineStr">
        <x:is>
          <x:t xml:space="preserve">补偿政策、审批SOP</x:t>
        </x:is>
      </x:c>
      <x:c r="I38" s="21" t="inlineStr">
        <x:is>
          <x:t xml:space="preserve">是</x:t>
        </x:is>
      </x:c>
      <x:c r="J38" s="21" t="inlineStr">
        <x:is>
          <x:t xml:space="preserve">权益、原因、时间</x:t>
        </x:is>
      </x:c>
      <x:c r="K38" s="22" t="n">
        <x:v>210</x:v>
      </x:c>
      <x:c r="L38" s="22" t="n">
        <x:v>2</x:v>
      </x:c>
      <x:c r="M38" s="22" t="n">
        <x:v>5</x:v>
      </x:c>
      <x:c r="N38" s="22" t="n">
        <x:v>2</x:v>
      </x:c>
      <x:c r="O38" s="22" t="n">
        <x:v>3</x:v>
      </x:c>
      <x:c r="P38" s="22" t="n">
        <x:v>5</x:v>
      </x:c>
      <x:c r="Q38" s="23" t="n">
        <x:f>ROUND(L38*'评分规则'!$B$4+M38*'评分规则'!$B$5+N38*'评分规则'!$B$6+O38*'评分规则'!$B$7+(6-P38)*'评分规则'!$B$8,2)</x:f>
        <x:v>2.65</x:v>
      </x:c>
      <x:c r="R38" s="24" t="str">
        <x:f>IF(P38&gt;=5,"转人工/暂不自动化",IF(Q38&gt;=4.2,"MVP P0",IF(Q38&gt;=3.5,"MVP P1",IF(Q38&gt;=2.8,"二期","暂不纳入"))))</x:f>
        <x:v>转人工/暂不自动化</x:v>
      </x:c>
      <x:c r="S38" s="25" t="inlineStr">
        <x:is>
          <x:t xml:space="preserve">转人工</x:t>
        </x:is>
      </x:c>
      <x:c r="T38" s="26" t="inlineStr">
        <x:is>
          <x:t xml:space="preserve">AI不得承诺补发或修改资产</x:t>
        </x:is>
      </x:c>
    </x:row>
    <x:row r="39">
      <x:c r="A39" s="15" t="inlineStr">
        <x:is>
          <x:t xml:space="preserve">ACT-01</x:t>
        </x:is>
      </x:c>
      <x:c r="B39" s="15" t="inlineStr">
        <x:is>
          <x:t xml:space="preserve">会员活动</x:t>
        </x:is>
      </x:c>
      <x:c r="C39" s="15" t="inlineStr">
        <x:is>
          <x:t xml:space="preserve">活动参与资格</x:t>
        </x:is>
      </x:c>
      <x:c r="D39" s="15" t="inlineStr">
        <x:is>
          <x:t xml:space="preserve">为什么我参加不了这个会员活动？</x:t>
        </x:is>
      </x:c>
      <x:c r="E39" s="15" t="inlineStr">
        <x:is>
          <x:t xml:space="preserve">规则解释/异常</x:t>
        </x:is>
      </x:c>
      <x:c r="F39" s="15" t="inlineStr">
        <x:is>
          <x:t xml:space="preserve">核对活动资格与会员状态</x:t>
        </x:is>
      </x:c>
      <x:c r="G39" s="15" t="inlineStr">
        <x:is>
          <x:t xml:space="preserve">活动API + 会员API + RAG</x:t>
        </x:is>
      </x:c>
      <x:c r="H39" s="15" t="inlineStr">
        <x:is>
          <x:t xml:space="preserve">活动资格、人群标签、国家/渠道</x:t>
        </x:is>
      </x:c>
      <x:c r="I39" s="15" t="inlineStr">
        <x:is>
          <x:t xml:space="preserve">是</x:t>
        </x:is>
      </x:c>
      <x:c r="J39" s="15" t="inlineStr">
        <x:is>
          <x:t xml:space="preserve">活动名称</x:t>
        </x:is>
      </x:c>
      <x:c r="K39" s="16" t="n">
        <x:v>620</x:v>
      </x:c>
      <x:c r="L39" s="16" t="n">
        <x:v>4</x:v>
      </x:c>
      <x:c r="M39" s="16" t="n">
        <x:v>4</x:v>
      </x:c>
      <x:c r="N39" s="16" t="n">
        <x:v>4</x:v>
      </x:c>
      <x:c r="O39" s="16" t="n">
        <x:v>4</x:v>
      </x:c>
      <x:c r="P39" s="16" t="n">
        <x:v>3</x:v>
      </x:c>
      <x:c r="Q39" s="17" t="n">
        <x:f>ROUND(L39*'评分规则'!$B$4+M39*'评分规则'!$B$5+N39*'评分规则'!$B$6+O39*'评分规则'!$B$7+(6-P39)*'评分规则'!$B$8,2)</x:f>
        <x:v>3.85</x:v>
      </x:c>
      <x:c r="R39" s="18" t="str">
        <x:f>IF(P39&gt;=5,"转人工/暂不自动化",IF(Q39&gt;=4.2,"MVP P0",IF(Q39&gt;=3.5,"MVP P1",IF(Q39&gt;=2.8,"二期","暂不纳入"))))</x:f>
        <x:v>MVP P1</x:v>
      </x:c>
      <x:c r="S39" s="19" t="inlineStr">
        <x:is>
          <x:t xml:space="preserve">MVP P1</x:t>
        </x:is>
      </x:c>
      <x:c r="T39" s="20" t="inlineStr">
        <x:is>
          <x:t xml:space="preserve">活动人群圈选可能动态变化，需读取活动配置</x:t>
        </x:is>
      </x:c>
    </x:row>
    <x:row r="40">
      <x:c r="A40" s="15" t="inlineStr">
        <x:is>
          <x:t xml:space="preserve">ACT-02</x:t>
        </x:is>
      </x:c>
      <x:c r="B40" s="15" t="inlineStr">
        <x:is>
          <x:t xml:space="preserve">会员活动</x:t>
        </x:is>
      </x:c>
      <x:c r="C40" s="15" t="inlineStr">
        <x:is>
          <x:t xml:space="preserve">活动奖励未到账</x:t>
        </x:is>
      </x:c>
      <x:c r="D40" s="15" t="inlineStr">
        <x:is>
          <x:t xml:space="preserve">完成任务了，奖励还没发</x:t>
        </x:is>
      </x:c>
      <x:c r="E40" s="15" t="inlineStr">
        <x:is>
          <x:t xml:space="preserve">异常诊断</x:t>
        </x:is>
      </x:c>
      <x:c r="F40" s="15" t="inlineStr">
        <x:is>
          <x:t xml:space="preserve">核对任务完成与奖励发放记录</x:t>
        </x:is>
      </x:c>
      <x:c r="G40" s="15" t="inlineStr">
        <x:is>
          <x:t xml:space="preserve">活动API + 权益/券/积分API + 工作流</x:t>
        </x:is>
      </x:c>
      <x:c r="H40" s="15" t="inlineStr">
        <x:is>
          <x:t xml:space="preserve">任务状态、奖励任务、发放结果</x:t>
        </x:is>
      </x:c>
      <x:c r="I40" s="15" t="inlineStr">
        <x:is>
          <x:t xml:space="preserve">是</x:t>
        </x:is>
      </x:c>
      <x:c r="J40" s="15" t="inlineStr">
        <x:is>
          <x:t xml:space="preserve">活动/任务名称、完成时间</x:t>
        </x:is>
      </x:c>
      <x:c r="K40" s="16" t="n">
        <x:v>540</x:v>
      </x:c>
      <x:c r="L40" s="16" t="n">
        <x:v>4</x:v>
      </x:c>
      <x:c r="M40" s="16" t="n">
        <x:v>5</x:v>
      </x:c>
      <x:c r="N40" s="16" t="n">
        <x:v>3</x:v>
      </x:c>
      <x:c r="O40" s="16" t="n">
        <x:v>4</x:v>
      </x:c>
      <x:c r="P40" s="16" t="n">
        <x:v>4</x:v>
      </x:c>
      <x:c r="Q40" s="17" t="n">
        <x:f>ROUND(L40*'评分规则'!$B$4+M40*'评分规则'!$B$5+N40*'评分规则'!$B$6+O40*'评分规则'!$B$7+(6-P40)*'评分规则'!$B$8,2)</x:f>
        <x:v>3.7</x:v>
      </x:c>
      <x:c r="R40" s="18" t="str">
        <x:f>IF(P40&gt;=5,"转人工/暂不自动化",IF(Q40&gt;=4.2,"MVP P0",IF(Q40&gt;=3.5,"MVP P1",IF(Q40&gt;=2.8,"二期","暂不纳入"))))</x:f>
        <x:v>MVP P1</x:v>
      </x:c>
      <x:c r="S40" s="19" t="inlineStr">
        <x:is>
          <x:t xml:space="preserve">MVP P1</x:t>
        </x:is>
      </x:c>
      <x:c r="T40" s="20" t="inlineStr">
        <x:is>
          <x:t xml:space="preserve">不同奖励资产调用不同工具，失败后转工单</x:t>
        </x:is>
      </x:c>
    </x:row>
    <x:row r="41">
      <x:c r="A41" s="15" t="inlineStr">
        <x:is>
          <x:t xml:space="preserve">ACT-03</x:t>
        </x:is>
      </x:c>
      <x:c r="B41" s="15" t="inlineStr">
        <x:is>
          <x:t xml:space="preserve">会员活动</x:t>
        </x:is>
      </x:c>
      <x:c r="C41" s="15" t="inlineStr">
        <x:is>
          <x:t xml:space="preserve">会员任务进度</x:t>
        </x:is>
      </x:c>
      <x:c r="D41" s="15" t="inlineStr">
        <x:is>
          <x:t xml:space="preserve">签到任务还差几天？</x:t>
        </x:is>
      </x:c>
      <x:c r="E41" s="15" t="inlineStr">
        <x:is>
          <x:t xml:space="preserve">资产查询</x:t>
        </x:is>
      </x:c>
      <x:c r="F41" s="15" t="inlineStr">
        <x:is>
          <x:t xml:space="preserve">返回任务进度与截止时间</x:t>
        </x:is>
      </x:c>
      <x:c r="G41" s="15" t="inlineStr">
        <x:is>
          <x:t xml:space="preserve">活动任务API</x:t>
        </x:is>
      </x:c>
      <x:c r="H41" s="15" t="inlineStr">
        <x:is>
          <x:t xml:space="preserve">任务进度、完成记录、截止时间</x:t>
        </x:is>
      </x:c>
      <x:c r="I41" s="15" t="inlineStr">
        <x:is>
          <x:t xml:space="preserve">是</x:t>
        </x:is>
      </x:c>
      <x:c r="J41" s="15" t="inlineStr">
        <x:is>
          <x:t xml:space="preserve">活动名称</x:t>
        </x:is>
      </x:c>
      <x:c r="K41" s="16" t="n">
        <x:v>300</x:v>
      </x:c>
      <x:c r="L41" s="16" t="n">
        <x:v>3</x:v>
      </x:c>
      <x:c r="M41" s="16" t="n">
        <x:v>3</x:v>
      </x:c>
      <x:c r="N41" s="16" t="n">
        <x:v>5</x:v>
      </x:c>
      <x:c r="O41" s="16" t="n">
        <x:v>4</x:v>
      </x:c>
      <x:c r="P41" s="16" t="n">
        <x:v>2</x:v>
      </x:c>
      <x:c r="Q41" s="17" t="n">
        <x:f>ROUND(L41*'评分规则'!$B$4+M41*'评分规则'!$B$5+N41*'评分规则'!$B$6+O41*'评分规则'!$B$7+(6-P41)*'评分规则'!$B$8,2)</x:f>
        <x:v>3.75</x:v>
      </x:c>
      <x:c r="R41" s="18" t="str">
        <x:f>IF(P41&gt;=5,"转人工/暂不自动化",IF(Q41&gt;=4.2,"MVP P0",IF(Q41&gt;=3.5,"MVP P1",IF(Q41&gt;=2.8,"二期","暂不纳入"))))</x:f>
        <x:v>MVP P1</x:v>
      </x:c>
      <x:c r="S41" s="19" t="inlineStr">
        <x:is>
          <x:t xml:space="preserve">MVP P1</x:t>
        </x:is>
      </x:c>
      <x:c r="T41" s="20" t="inlineStr">
        <x:is>
          <x:t xml:space="preserve">进度必须来自活动系统，不由模型推断</x:t>
        </x:is>
      </x:c>
    </x:row>
    <x:row r="42">
      <x:c r="A42" s="33" t="inlineStr">
        <x:is>
          <x:t xml:space="preserve">ACT-04</x:t>
        </x:is>
      </x:c>
      <x:c r="B42" s="33" t="inlineStr">
        <x:is>
          <x:t xml:space="preserve">会员活动</x:t>
        </x:is>
      </x:c>
      <x:c r="C42" s="33" t="inlineStr">
        <x:is>
          <x:t xml:space="preserve">国家/渠道活动规则</x:t>
        </x:is>
      </x:c>
      <x:c r="D42" s="33" t="inlineStr">
        <x:is>
          <x:t xml:space="preserve">这个活动为什么其他国家有，我们没有？</x:t>
        </x:is>
      </x:c>
      <x:c r="E42" s="33" t="inlineStr">
        <x:is>
          <x:t xml:space="preserve">规则解释</x:t>
        </x:is>
      </x:c>
      <x:c r="F42" s="33" t="inlineStr">
        <x:is>
          <x:t xml:space="preserve">解释适用国家、渠道与时间范围</x:t>
        </x:is>
      </x:c>
      <x:c r="G42" s="33" t="inlineStr">
        <x:is>
          <x:t xml:space="preserve">RAG + 活动API</x:t>
        </x:is>
      </x:c>
      <x:c r="H42" s="33" t="inlineStr">
        <x:is>
          <x:t xml:space="preserve">活动配置、国家范围、生效时间</x:t>
        </x:is>
      </x:c>
      <x:c r="I42" s="33" t="inlineStr">
        <x:is>
          <x:t xml:space="preserve">否</x:t>
        </x:is>
      </x:c>
      <x:c r="J42" s="33" t="inlineStr">
        <x:is>
          <x:t xml:space="preserve">国家、活动</x:t>
        </x:is>
      </x:c>
      <x:c r="K42" s="34" t="n">
        <x:v>220</x:v>
      </x:c>
      <x:c r="L42" s="34" t="n">
        <x:v>2</x:v>
      </x:c>
      <x:c r="M42" s="34" t="n">
        <x:v>3</x:v>
      </x:c>
      <x:c r="N42" s="34" t="n">
        <x:v>5</x:v>
      </x:c>
      <x:c r="O42" s="34" t="n">
        <x:v>5</x:v>
      </x:c>
      <x:c r="P42" s="34" t="n">
        <x:v>2</x:v>
      </x:c>
      <x:c r="Q42" s="35" t="n">
        <x:f>ROUND(L42*'评分规则'!$B$4+M42*'评分规则'!$B$5+N42*'评分规则'!$B$6+O42*'评分规则'!$B$7+(6-P42)*'评分规则'!$B$8,2)</x:f>
        <x:v>3.7</x:v>
      </x:c>
      <x:c r="R42" s="36" t="str">
        <x:f>IF(P42&gt;=5,"转人工/暂不自动化",IF(Q42&gt;=4.2,"MVP P0",IF(Q42&gt;=3.5,"MVP P1",IF(Q42&gt;=2.8,"二期","暂不纳入"))))</x:f>
        <x:v>MVP P1</x:v>
      </x:c>
      <x:c r="S42" s="37" t="inlineStr">
        <x:is>
          <x:t xml:space="preserve">二期</x:t>
        </x:is>
      </x:c>
      <x:c r="T42" s="38" t="inlineStr">
        <x:is>
          <x:t xml:space="preserve">可先解释，不应暗示所有国家政策一致</x:t>
        </x:is>
      </x:c>
    </x:row>
    <x:row r="43">
      <x:c r="A43" s="15" t="inlineStr">
        <x:is>
          <x:t xml:space="preserve">CHN-01</x:t>
        </x:is>
      </x:c>
      <x:c r="B43" s="15" t="inlineStr">
        <x:is>
          <x:t xml:space="preserve">渠道与门店</x:t>
        </x:is>
      </x:c>
      <x:c r="C43" s="15" t="inlineStr">
        <x:is>
          <x:t xml:space="preserve">附近门店查询</x:t>
        </x:is>
      </x:c>
      <x:c r="D43" s="15" t="inlineStr">
        <x:is>
          <x:t xml:space="preserve">离我最近的OH!SOME在哪里？</x:t>
        </x:is>
      </x:c>
      <x:c r="E43" s="15" t="inlineStr">
        <x:is>
          <x:t xml:space="preserve">信息查询</x:t>
        </x:is>
      </x:c>
      <x:c r="F43" s="15" t="inlineStr">
        <x:is>
          <x:t xml:space="preserve">根据定位返回附近门店</x:t>
        </x:is>
      </x:c>
      <x:c r="G43" s="15" t="inlineStr">
        <x:is>
          <x:t xml:space="preserve">门店API/地图服务</x:t>
        </x:is>
      </x:c>
      <x:c r="H43" s="15" t="inlineStr">
        <x:is>
          <x:t xml:space="preserve">门店地址、营业状态、距离</x:t>
        </x:is>
      </x:c>
      <x:c r="I43" s="15" t="inlineStr">
        <x:is>
          <x:t xml:space="preserve">否</x:t>
        </x:is>
      </x:c>
      <x:c r="J43" s="15" t="inlineStr">
        <x:is>
          <x:t xml:space="preserve">定位或城市</x:t>
        </x:is>
      </x:c>
      <x:c r="K43" s="16" t="n">
        <x:v>730</x:v>
      </x:c>
      <x:c r="L43" s="16" t="n">
        <x:v>4</x:v>
      </x:c>
      <x:c r="M43" s="16" t="n">
        <x:v>4</x:v>
      </x:c>
      <x:c r="N43" s="16" t="n">
        <x:v>5</x:v>
      </x:c>
      <x:c r="O43" s="16" t="n">
        <x:v>5</x:v>
      </x:c>
      <x:c r="P43" s="16" t="n">
        <x:v>2</x:v>
      </x:c>
      <x:c r="Q43" s="17" t="n">
        <x:f>ROUND(L43*'评分规则'!$B$4+M43*'评分规则'!$B$5+N43*'评分规则'!$B$6+O43*'评分规则'!$B$7+(6-P43)*'评分规则'!$B$8,2)</x:f>
        <x:v>4.4</x:v>
      </x:c>
      <x:c r="R43" s="18" t="str">
        <x:f>IF(P43&gt;=5,"转人工/暂不自动化",IF(Q43&gt;=4.2,"MVP P0",IF(Q43&gt;=3.5,"MVP P1",IF(Q43&gt;=2.8,"二期","暂不纳入"))))</x:f>
        <x:v>MVP P0</x:v>
      </x:c>
      <x:c r="S43" s="19" t="inlineStr">
        <x:is>
          <x:t xml:space="preserve">MVP P1</x:t>
        </x:is>
      </x:c>
      <x:c r="T43" s="20" t="inlineStr">
        <x:is>
          <x:t xml:space="preserve">营业状态和门店类型需要实时或准实时数据</x:t>
        </x:is>
      </x:c>
    </x:row>
    <x:row r="44">
      <x:c r="A44" s="15" t="inlineStr">
        <x:is>
          <x:t xml:space="preserve">CHN-02</x:t>
        </x:is>
      </x:c>
      <x:c r="B44" s="15" t="inlineStr">
        <x:is>
          <x:t xml:space="preserve">渠道与门店</x:t>
        </x:is>
      </x:c>
      <x:c r="C44" s="15" t="inlineStr">
        <x:is>
          <x:t xml:space="preserve">权益适用门店查询</x:t>
        </x:is>
      </x:c>
      <x:c r="D44" s="15" t="inlineStr">
        <x:is>
          <x:t xml:space="preserve">这项会员权益哪些店可以用？</x:t>
        </x:is>
      </x:c>
      <x:c r="E44" s="15" t="inlineStr">
        <x:is>
          <x:t xml:space="preserve">规则解释/查询</x:t>
        </x:is>
      </x:c>
      <x:c r="F44" s="15" t="inlineStr">
        <x:is>
          <x:t xml:space="preserve">结合权益实例返回适用门店</x:t>
        </x:is>
      </x:c>
      <x:c r="G44" s="15" t="inlineStr">
        <x:is>
          <x:t xml:space="preserve">权益API + 门店API + RAG</x:t>
        </x:is>
      </x:c>
      <x:c r="H44" s="15" t="inlineStr">
        <x:is>
          <x:t xml:space="preserve">权益适用范围、门店属性</x:t>
        </x:is>
      </x:c>
      <x:c r="I44" s="15" t="inlineStr">
        <x:is>
          <x:t xml:space="preserve">是</x:t>
        </x:is>
      </x:c>
      <x:c r="J44" s="15" t="inlineStr">
        <x:is>
          <x:t xml:space="preserve">权益ID、城市</x:t>
        </x:is>
      </x:c>
      <x:c r="K44" s="16" t="n">
        <x:v>460</x:v>
      </x:c>
      <x:c r="L44" s="16" t="n">
        <x:v>3</x:v>
      </x:c>
      <x:c r="M44" s="16" t="n">
        <x:v>4</x:v>
      </x:c>
      <x:c r="N44" s="16" t="n">
        <x:v>4</x:v>
      </x:c>
      <x:c r="O44" s="16" t="n">
        <x:v>4</x:v>
      </x:c>
      <x:c r="P44" s="16" t="n">
        <x:v>2</x:v>
      </x:c>
      <x:c r="Q44" s="17" t="n">
        <x:f>ROUND(L44*'评分规则'!$B$4+M44*'评分规则'!$B$5+N44*'评分规则'!$B$6+O44*'评分规则'!$B$7+(6-P44)*'评分规则'!$B$8,2)</x:f>
        <x:v>3.75</x:v>
      </x:c>
      <x:c r="R44" s="18" t="str">
        <x:f>IF(P44&gt;=5,"转人工/暂不自动化",IF(Q44&gt;=4.2,"MVP P0",IF(Q44&gt;=3.5,"MVP P1",IF(Q44&gt;=2.8,"二期","暂不纳入"))))</x:f>
        <x:v>MVP P1</x:v>
      </x:c>
      <x:c r="S44" s="19" t="inlineStr">
        <x:is>
          <x:t xml:space="preserve">MVP P1</x:t>
        </x:is>
      </x:c>
      <x:c r="T44" s="20" t="inlineStr">
        <x:is>
          <x:t xml:space="preserve">适用范围若动态配置，优先读取配置而非静态FAQ</x:t>
        </x:is>
      </x:c>
    </x:row>
    <x:row r="45">
      <x:c r="A45" s="21" t="inlineStr">
        <x:is>
          <x:t xml:space="preserve">CHN-03</x:t>
        </x:is>
      </x:c>
      <x:c r="B45" s="21" t="inlineStr">
        <x:is>
          <x:t xml:space="preserve">渠道与门店</x:t>
        </x:is>
      </x:c>
      <x:c r="C45" s="21" t="inlineStr">
        <x:is>
          <x:t xml:space="preserve">线上线下会员数据不同步</x:t>
        </x:is>
      </x:c>
      <x:c r="D45" s="21" t="inlineStr">
        <x:is>
          <x:t xml:space="preserve">App积分和门店看到的不一样</x:t>
        </x:is>
      </x:c>
      <x:c r="E45" s="21" t="inlineStr">
        <x:is>
          <x:t xml:space="preserve">异常诊断</x:t>
        </x:is>
      </x:c>
      <x:c r="F45" s="21" t="inlineStr">
        <x:is>
          <x:t xml:space="preserve">核对账户、数据源与同步状态</x:t>
        </x:is>
      </x:c>
      <x:c r="G45" s="21" t="inlineStr">
        <x:is>
          <x:t xml:space="preserve">会员API + POS/同步状态API + 工作流</x:t>
        </x:is>
      </x:c>
      <x:c r="H45" s="21" t="inlineStr">
        <x:is>
          <x:t xml:space="preserve">One ID、积分账户、同步日志</x:t>
        </x:is>
      </x:c>
      <x:c r="I45" s="21" t="inlineStr">
        <x:is>
          <x:t xml:space="preserve">是</x:t>
        </x:is>
      </x:c>
      <x:c r="J45" s="21" t="inlineStr">
        <x:is>
          <x:t xml:space="preserve">门店、时间、差异截图</x:t>
        </x:is>
      </x:c>
      <x:c r="K45" s="22" t="n">
        <x:v>310</x:v>
      </x:c>
      <x:c r="L45" s="22" t="n">
        <x:v>3</x:v>
      </x:c>
      <x:c r="M45" s="22" t="n">
        <x:v>5</x:v>
      </x:c>
      <x:c r="N45" s="22" t="n">
        <x:v>3</x:v>
      </x:c>
      <x:c r="O45" s="22" t="n">
        <x:v>3</x:v>
      </x:c>
      <x:c r="P45" s="22" t="n">
        <x:v>5</x:v>
      </x:c>
      <x:c r="Q45" s="23" t="n">
        <x:f>ROUND(L45*'评分规则'!$B$4+M45*'评分规则'!$B$5+N45*'评分规则'!$B$6+O45*'评分规则'!$B$7+(6-P45)*'评分规则'!$B$8,2)</x:f>
        <x:v>3.1</x:v>
      </x:c>
      <x:c r="R45" s="24" t="str">
        <x:f>IF(P45&gt;=5,"转人工/暂不自动化",IF(Q45&gt;=4.2,"MVP P0",IF(Q45&gt;=3.5,"MVP P1",IF(Q45&gt;=2.8,"二期","暂不纳入"))))</x:f>
        <x:v>转人工/暂不自动化</x:v>
      </x:c>
      <x:c r="S45" s="25" t="inlineStr">
        <x:is>
          <x:t xml:space="preserve">转人工/二期</x:t>
        </x:is>
      </x:c>
      <x:c r="T45" s="26" t="inlineStr">
        <x:is>
          <x:t xml:space="preserve">可能涉及数据一致性故障，AI先收集信息并转工单</x:t>
        </x:is>
      </x:c>
    </x:row>
    <x:row r="46">
      <x:c r="A46" s="15" t="inlineStr">
        <x:is>
          <x:t xml:space="preserve">CHN-04</x:t>
        </x:is>
      </x:c>
      <x:c r="B46" s="15" t="inlineStr">
        <x:is>
          <x:t xml:space="preserve">渠道与门店</x:t>
        </x:is>
      </x:c>
      <x:c r="C46" s="15" t="inlineStr">
        <x:is>
          <x:t xml:space="preserve">跨国家会员是否互通</x:t>
        </x:is>
      </x:c>
      <x:c r="D46" s="15" t="inlineStr">
        <x:is>
          <x:t xml:space="preserve">新加坡会员到马来西亚还能用吗？</x:t>
        </x:is>
      </x:c>
      <x:c r="E46" s="15" t="inlineStr">
        <x:is>
          <x:t xml:space="preserve">规则解释</x:t>
        </x:is>
      </x:c>
      <x:c r="F46" s="15" t="inlineStr">
        <x:is>
          <x:t xml:space="preserve">解释账号、积分和权益的跨国边界</x:t>
        </x:is>
      </x:c>
      <x:c r="G46" s="15" t="inlineStr">
        <x:is>
          <x:t xml:space="preserve">RAG</x:t>
        </x:is>
      </x:c>
      <x:c r="H46" s="15" t="inlineStr">
        <x:is>
          <x:t xml:space="preserve">国家隔离规则、跨国使用规则</x:t>
        </x:is>
      </x:c>
      <x:c r="I46" s="15" t="inlineStr">
        <x:is>
          <x:t xml:space="preserve">否</x:t>
        </x:is>
      </x:c>
      <x:c r="J46" s="15" t="inlineStr">
        <x:is>
          <x:t xml:space="preserve">两个国家、会员资产类型</x:t>
        </x:is>
      </x:c>
      <x:c r="K46" s="16" t="n">
        <x:v>350</x:v>
      </x:c>
      <x:c r="L46" s="16" t="n">
        <x:v>3</x:v>
      </x:c>
      <x:c r="M46" s="16" t="n">
        <x:v>4</x:v>
      </x:c>
      <x:c r="N46" s="16" t="n">
        <x:v>5</x:v>
      </x:c>
      <x:c r="O46" s="16" t="n">
        <x:v>5</x:v>
      </x:c>
      <x:c r="P46" s="16" t="n">
        <x:v>3</x:v>
      </x:c>
      <x:c r="Q46" s="17" t="n">
        <x:f>ROUND(L46*'评分规则'!$B$4+M46*'评分规则'!$B$5+N46*'评分规则'!$B$6+O46*'评分规则'!$B$7+(6-P46)*'评分规则'!$B$8,2)</x:f>
        <x:v>4</x:v>
      </x:c>
      <x:c r="R46" s="18" t="str">
        <x:f>IF(P46&gt;=5,"转人工/暂不自动化",IF(Q46&gt;=4.2,"MVP P0",IF(Q46&gt;=3.5,"MVP P1",IF(Q46&gt;=2.8,"二期","暂不纳入"))))</x:f>
        <x:v>MVP P1</x:v>
      </x:c>
      <x:c r="S46" s="19" t="inlineStr">
        <x:is>
          <x:t xml:space="preserve">MVP P1</x:t>
        </x:is>
      </x:c>
      <x:c r="T46" s="20" t="inlineStr">
        <x:is>
          <x:t xml:space="preserve">账号可识别不代表积分和权益必然互通</x:t>
        </x:is>
      </x:c>
    </x:row>
    <x:row r="47">
      <x:c r="A47" s="21" t="inlineStr">
        <x:is>
          <x:t xml:space="preserve">RISK-01</x:t>
        </x:is>
      </x:c>
      <x:c r="B47" s="21" t="inlineStr">
        <x:is>
          <x:t xml:space="preserve">风险与投诉</x:t>
        </x:is>
      </x:c>
      <x:c r="C47" s="21" t="inlineStr">
        <x:is>
          <x:t xml:space="preserve">疑似账户资产被盗用</x:t>
        </x:is>
      </x:c>
      <x:c r="D47" s="21" t="inlineStr">
        <x:is>
          <x:t xml:space="preserve">我的券被别人用了</x:t>
        </x:is>
      </x:c>
      <x:c r="E47" s="21" t="inlineStr">
        <x:is>
          <x:t xml:space="preserve">高风险投诉</x:t>
        </x:is>
      </x:c>
      <x:c r="F47" s="21" t="inlineStr">
        <x:is>
          <x:t xml:space="preserve">查询基础记录并立即转人工</x:t>
        </x:is>
      </x:c>
      <x:c r="G47" s="21" t="inlineStr">
        <x:is>
          <x:t xml:space="preserve">券/积分API + 人工工单</x:t>
        </x:is>
      </x:c>
      <x:c r="H47" s="21" t="inlineStr">
        <x:is>
          <x:t xml:space="preserve">核销记录、登录设备、风险SOP</x:t>
        </x:is>
      </x:c>
      <x:c r="I47" s="21" t="inlineStr">
        <x:is>
          <x:t xml:space="preserve">是</x:t>
        </x:is>
      </x:c>
      <x:c r="J47" s="21" t="inlineStr">
        <x:is>
          <x:t xml:space="preserve">异常资产、时间</x:t>
        </x:is>
      </x:c>
      <x:c r="K47" s="22" t="n">
        <x:v>120</x:v>
      </x:c>
      <x:c r="L47" s="22" t="n">
        <x:v>2</x:v>
      </x:c>
      <x:c r="M47" s="22" t="n">
        <x:v>5</x:v>
      </x:c>
      <x:c r="N47" s="22" t="n">
        <x:v>2</x:v>
      </x:c>
      <x:c r="O47" s="22" t="n">
        <x:v>4</x:v>
      </x:c>
      <x:c r="P47" s="22" t="n">
        <x:v>5</x:v>
      </x:c>
      <x:c r="Q47" s="23" t="n">
        <x:f>ROUND(L47*'评分规则'!$B$4+M47*'评分规则'!$B$5+N47*'评分规则'!$B$6+O47*'评分规则'!$B$7+(6-P47)*'评分规则'!$B$8,2)</x:f>
        <x:v>2.85</x:v>
      </x:c>
      <x:c r="R47" s="24" t="str">
        <x:f>IF(P47&gt;=5,"转人工/暂不自动化",IF(Q47&gt;=4.2,"MVP P0",IF(Q47&gt;=3.5,"MVP P1",IF(Q47&gt;=2.8,"二期","暂不纳入"))))</x:f>
        <x:v>转人工/暂不自动化</x:v>
      </x:c>
      <x:c r="S47" s="25" t="inlineStr">
        <x:is>
          <x:t xml:space="preserve">转人工</x:t>
        </x:is>
      </x:c>
      <x:c r="T47" s="26" t="inlineStr">
        <x:is>
          <x:t xml:space="preserve">不得直接认定盗用主体；需风控或客服核查</x:t>
        </x:is>
      </x:c>
    </x:row>
    <x:row r="48">
      <x:c r="A48" s="21" t="inlineStr">
        <x:is>
          <x:t xml:space="preserve">RISK-02</x:t>
        </x:is>
      </x:c>
      <x:c r="B48" s="21" t="inlineStr">
        <x:is>
          <x:t xml:space="preserve">风险与投诉</x:t>
        </x:is>
      </x:c>
      <x:c r="C48" s="21" t="inlineStr">
        <x:is>
          <x:t xml:space="preserve">隐私/数据访问质疑</x:t>
        </x:is>
      </x:c>
      <x:c r="D48" s="21" t="inlineStr">
        <x:is>
          <x:t xml:space="preserve">你们为什么知道我的消费记录？</x:t>
        </x:is>
      </x:c>
      <x:c r="E48" s="21" t="inlineStr">
        <x:is>
          <x:t xml:space="preserve">高风险咨询</x:t>
        </x:is>
      </x:c>
      <x:c r="F48" s="21" t="inlineStr">
        <x:is>
          <x:t xml:space="preserve">解释授权范围并转隐私渠道</x:t>
        </x:is>
      </x:c>
      <x:c r="G48" s="21" t="inlineStr">
        <x:is>
          <x:t xml:space="preserve">RAG + 人工工单</x:t>
        </x:is>
      </x:c>
      <x:c r="H48" s="21" t="inlineStr">
        <x:is>
          <x:t xml:space="preserve">隐私政策、授权记录、数据使用说明</x:t>
        </x:is>
      </x:c>
      <x:c r="I48" s="21" t="inlineStr">
        <x:is>
          <x:t xml:space="preserve">是</x:t>
        </x:is>
      </x:c>
      <x:c r="J48" s="21" t="inlineStr">
        <x:is>
          <x:t xml:space="preserve">具体质疑点</x:t>
        </x:is>
      </x:c>
      <x:c r="K48" s="22" t="n">
        <x:v>95</x:v>
      </x:c>
      <x:c r="L48" s="22" t="n">
        <x:v>1</x:v>
      </x:c>
      <x:c r="M48" s="22" t="n">
        <x:v>5</x:v>
      </x:c>
      <x:c r="N48" s="22" t="n">
        <x:v>3</x:v>
      </x:c>
      <x:c r="O48" s="22" t="n">
        <x:v>3</x:v>
      </x:c>
      <x:c r="P48" s="22" t="n">
        <x:v>5</x:v>
      </x:c>
      <x:c r="Q48" s="23" t="n">
        <x:f>ROUND(L48*'评分规则'!$B$4+M48*'评分规则'!$B$5+N48*'评分规则'!$B$6+O48*'评分规则'!$B$7+(6-P48)*'评分规则'!$B$8,2)</x:f>
        <x:v>2.6</x:v>
      </x:c>
      <x:c r="R48" s="24" t="str">
        <x:f>IF(P48&gt;=5,"转人工/暂不自动化",IF(Q48&gt;=4.2,"MVP P0",IF(Q48&gt;=3.5,"MVP P1",IF(Q48&gt;=2.8,"二期","暂不纳入"))))</x:f>
        <x:v>转人工/暂不自动化</x:v>
      </x:c>
      <x:c r="S48" s="25" t="inlineStr">
        <x:is>
          <x:t xml:space="preserve">转人工</x:t>
        </x:is>
      </x:c>
      <x:c r="T48" s="26" t="inlineStr">
        <x:is>
          <x:t xml:space="preserve">涉及隐私权利请求时进入正式流程</x:t>
        </x:is>
      </x:c>
    </x:row>
    <x:row r="49">
      <x:c r="A49" s="21" t="inlineStr">
        <x:is>
          <x:t xml:space="preserve">RISK-03</x:t>
        </x:is>
      </x:c>
      <x:c r="B49" s="21" t="inlineStr">
        <x:is>
          <x:t xml:space="preserve">风险与投诉</x:t>
        </x:is>
      </x:c>
      <x:c r="C49" s="21" t="inlineStr">
        <x:is>
          <x:t xml:space="preserve">投诉与赔偿诉求</x:t>
        </x:is>
      </x:c>
      <x:c r="D49" s="21" t="inlineStr">
        <x:is>
          <x:t xml:space="preserve">我要投诉并要求赔偿</x:t>
        </x:is>
      </x:c>
      <x:c r="E49" s="21" t="inlineStr">
        <x:is>
          <x:t xml:space="preserve">人工处理</x:t>
        </x:is>
      </x:c>
      <x:c r="F49" s="21" t="inlineStr">
        <x:is>
          <x:t xml:space="preserve">安抚、收集信息、生成摘要并转人工</x:t>
        </x:is>
      </x:c>
      <x:c r="G49" s="21" t="inlineStr">
        <x:is>
          <x:t xml:space="preserve">人工工单 + 会话摘要</x:t>
        </x:is>
      </x:c>
      <x:c r="H49" s="21" t="inlineStr">
        <x:is>
          <x:t xml:space="preserve">投诉SOP、服务记录</x:t>
        </x:is>
      </x:c>
      <x:c r="I49" s="21" t="inlineStr">
        <x:is>
          <x:t xml:space="preserve">是</x:t>
        </x:is>
      </x:c>
      <x:c r="J49" s="21" t="inlineStr">
        <x:is>
          <x:t xml:space="preserve">问题经过、订单/门店、期望</x:t>
        </x:is>
      </x:c>
      <x:c r="K49" s="22" t="n">
        <x:v>310</x:v>
      </x:c>
      <x:c r="L49" s="22" t="n">
        <x:v>3</x:v>
      </x:c>
      <x:c r="M49" s="22" t="n">
        <x:v>5</x:v>
      </x:c>
      <x:c r="N49" s="22" t="n">
        <x:v>2</x:v>
      </x:c>
      <x:c r="O49" s="22" t="n">
        <x:v>4</x:v>
      </x:c>
      <x:c r="P49" s="22" t="n">
        <x:v>5</x:v>
      </x:c>
      <x:c r="Q49" s="23" t="n">
        <x:f>ROUND(L49*'评分规则'!$B$4+M49*'评分规则'!$B$5+N49*'评分规则'!$B$6+O49*'评分规则'!$B$7+(6-P49)*'评分规则'!$B$8,2)</x:f>
        <x:v>3.1</x:v>
      </x:c>
      <x:c r="R49" s="24" t="str">
        <x:f>IF(P49&gt;=5,"转人工/暂不自动化",IF(Q49&gt;=4.2,"MVP P0",IF(Q49&gt;=3.5,"MVP P1",IF(Q49&gt;=2.8,"二期","暂不纳入"))))</x:f>
        <x:v>转人工/暂不自动化</x:v>
      </x:c>
      <x:c r="S49" s="25" t="inlineStr">
        <x:is>
          <x:t xml:space="preserve">转人工</x:t>
        </x:is>
      </x:c>
      <x:c r="T49" s="26" t="inlineStr">
        <x:is>
          <x:t xml:space="preserve">AI不判责、不承诺赔偿金额</x:t>
        </x:is>
      </x:c>
    </x:row>
    <x:row r="50">
      <x:c r="A50" s="21" t="inlineStr">
        <x:is>
          <x:t xml:space="preserve">RISK-04</x:t>
        </x:is>
      </x:c>
      <x:c r="B50" s="21" t="inlineStr">
        <x:is>
          <x:t xml:space="preserve">风险与投诉</x:t>
        </x:is>
      </x:c>
      <x:c r="C50" s="21" t="inlineStr">
        <x:is>
          <x:t xml:space="preserve">支付/退款争议</x:t>
        </x:is>
      </x:c>
      <x:c r="D50" s="21" t="inlineStr">
        <x:is>
          <x:t xml:space="preserve">退款一直不到账</x:t>
        </x:is>
      </x:c>
      <x:c r="E50" s="21" t="inlineStr">
        <x:is>
          <x:t xml:space="preserve">人工处理</x:t>
        </x:is>
      </x:c>
      <x:c r="F50" s="21" t="inlineStr">
        <x:is>
          <x:t xml:space="preserve">查询基础状态并转支付/售后流程</x:t>
        </x:is>
      </x:c>
      <x:c r="G50" s="21" t="inlineStr">
        <x:is>
          <x:t xml:space="preserve">订单/支付API + 人工工单</x:t>
        </x:is>
      </x:c>
      <x:c r="H50" s="21" t="inlineStr">
        <x:is>
          <x:t xml:space="preserve">支付状态、退款流水、售后SOP</x:t>
        </x:is>
      </x:c>
      <x:c r="I50" s="21" t="inlineStr">
        <x:is>
          <x:t xml:space="preserve">是</x:t>
        </x:is>
      </x:c>
      <x:c r="J50" s="21" t="inlineStr">
        <x:is>
          <x:t xml:space="preserve">订单号、支付方式</x:t>
        </x:is>
      </x:c>
      <x:c r="K50" s="22" t="n">
        <x:v>410</x:v>
      </x:c>
      <x:c r="L50" s="22" t="n">
        <x:v>3</x:v>
      </x:c>
      <x:c r="M50" s="22" t="n">
        <x:v>5</x:v>
      </x:c>
      <x:c r="N50" s="22" t="n">
        <x:v>3</x:v>
      </x:c>
      <x:c r="O50" s="22" t="n">
        <x:v>4</x:v>
      </x:c>
      <x:c r="P50" s="22" t="n">
        <x:v>5</x:v>
      </x:c>
      <x:c r="Q50" s="23" t="n">
        <x:f>ROUND(L50*'评分规则'!$B$4+M50*'评分规则'!$B$5+N50*'评分规则'!$B$6+O50*'评分规则'!$B$7+(6-P50)*'评分规则'!$B$8,2)</x:f>
        <x:v>3.3</x:v>
      </x:c>
      <x:c r="R50" s="24" t="str">
        <x:f>IF(P50&gt;=5,"转人工/暂不自动化",IF(Q50&gt;=4.2,"MVP P0",IF(Q50&gt;=3.5,"MVP P1",IF(Q50&gt;=2.8,"二期","暂不纳入"))))</x:f>
        <x:v>转人工/暂不自动化</x:v>
      </x:c>
      <x:c r="S50" s="25" t="inlineStr">
        <x:is>
          <x:t xml:space="preserve">转人工</x:t>
        </x:is>
      </x:c>
      <x:c r="T50" s="26" t="inlineStr">
        <x:is>
          <x:t xml:space="preserve">可展示系统状态，但不代替财务核查</x:t>
        </x:is>
      </x:c>
    </x:row>
    <x:row r="51">
      <x:c r="A51" s="27" t="inlineStr">
        <x:is>
          <x:t xml:space="preserve">RISK-05</x:t>
        </x:is>
      </x:c>
      <x:c r="B51" s="27" t="inlineStr">
        <x:is>
          <x:t xml:space="preserve">风险与投诉</x:t>
        </x:is>
      </x:c>
      <x:c r="C51" s="27" t="inlineStr">
        <x:is>
          <x:t xml:space="preserve">用户主动要求人工</x:t>
        </x:is>
      </x:c>
      <x:c r="D51" s="27" t="inlineStr">
        <x:is>
          <x:t xml:space="preserve">别跟机器人说了，转人工</x:t>
        </x:is>
      </x:c>
      <x:c r="E51" s="27" t="inlineStr">
        <x:is>
          <x:t xml:space="preserve">人工转接</x:t>
        </x:is>
      </x:c>
      <x:c r="F51" s="27" t="inlineStr">
        <x:is>
          <x:t xml:space="preserve">立即转人工并携带会话摘要</x:t>
        </x:is>
      </x:c>
      <x:c r="G51" s="27" t="inlineStr">
        <x:is>
          <x:t xml:space="preserve">人工客服系统</x:t>
        </x:is>
      </x:c>
      <x:c r="H51" s="27" t="inlineStr">
        <x:is>
          <x:t xml:space="preserve">会话历史、识别意图、已查询结果</x:t>
        </x:is>
      </x:c>
      <x:c r="I51" s="27" t="inlineStr">
        <x:is>
          <x:t xml:space="preserve">否</x:t>
        </x:is>
      </x:c>
      <x:c r="J51" s="27" t="inlineStr">
        <x:is>
          <x:t xml:space="preserve">无需</x:t>
        </x:is>
      </x:c>
      <x:c r="K51" s="28" t="n">
        <x:v>560</x:v>
      </x:c>
      <x:c r="L51" s="28" t="n">
        <x:v>4</x:v>
      </x:c>
      <x:c r="M51" s="28" t="n">
        <x:v>5</x:v>
      </x:c>
      <x:c r="N51" s="28" t="n">
        <x:v>5</x:v>
      </x:c>
      <x:c r="O51" s="28" t="n">
        <x:v>5</x:v>
      </x:c>
      <x:c r="P51" s="28" t="n">
        <x:v>2</x:v>
      </x:c>
      <x:c r="Q51" s="29" t="n">
        <x:f>ROUND(L51*'评分规则'!$B$4+M51*'评分规则'!$B$5+N51*'评分规则'!$B$6+O51*'评分规则'!$B$7+(6-P51)*'评分规则'!$B$8,2)</x:f>
        <x:v>4.6</x:v>
      </x:c>
      <x:c r="R51" s="30" t="str">
        <x:f>IF(P51&gt;=5,"转人工/暂不自动化",IF(Q51&gt;=4.2,"MVP P0",IF(Q51&gt;=3.5,"MVP P1",IF(Q51&gt;=2.8,"二期","暂不纳入"))))</x:f>
        <x:v>MVP P0</x:v>
      </x:c>
      <x:c r="S51" s="31" t="inlineStr">
        <x:is>
          <x:t xml:space="preserve">MVP P0</x:t>
        </x:is>
      </x:c>
      <x:c r="T51" s="32" t="inlineStr">
        <x:is>
          <x:t xml:space="preserve">尊重用户明确意愿，不用反复挽留</x:t>
        </x:is>
      </x:c>
    </x:row>
  </x:sheetData>
  <x:conditionalFormatting sqref="Q2:Q51">
    <x:cfRule type="colorScale" priority="1">
      <x:colorScale>
        <x:cfvo type="num" val="1"/>
        <x:cfvo type="num" val="3.5"/>
        <x:cfvo type="num" val="5"/>
        <x:color rgb="00FEE2E2"/>
        <x:color rgb="00FEF3C7"/>
        <x:color rgb="00DCFCE7"/>
      </x:colorScale>
    </x:cfRule>
  </x:conditionalFormatting>
  <x:dataValidations count="2">
    <x:dataValidation type="list" allowBlank="0" showDropDown="0" showInputMessage="0" showErrorMessage="0" sqref="S2:S51">
      <x:formula1>"MVP P0,MVP P1,二期,转人工,暂不纳入,二期/转人工,转人工/二期"</x:formula1>
    </x:dataValidation>
    <x:dataValidation type="list" allowBlank="0" showDropDown="0" showInputMessage="0" showErrorMessage="0" sqref="I2:I51">
      <x:formula1>"是,否"</x:formula1>
    </x:dataValidation>
  </x:dataValidations>
  <x:pageMargins left="0.7" right="0.7" top="0.75" bottom="0.75" header="0.3" footer="0.3"/>
  <x:legacyDrawing xmlns:r="http://schemas.openxmlformats.org/officeDocument/2006/relationships" r:id="Rb3fa7c1d791248db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42" customWidth="1"/>
    <x:col min="3" max="3" width="14" customWidth="1"/>
    <x:col min="4" max="4" width="12" customWidth="1"/>
    <x:col min="5" max="5" width="14" customWidth="1"/>
    <x:col min="6" max="6" width="25" customWidth="1"/>
    <x:col min="7" max="7" width="18" customWidth="1"/>
    <x:col min="8" max="8" width="42" customWidth="1"/>
  </x:cols>
  <x:sheetData>
    <x:row r="1">
      <x:c r="A1" s="39" t="inlineStr">
        <x:is>
          <x:t xml:space="preserve">样例ID</x:t>
        </x:is>
      </x:c>
      <x:c r="B1" s="39" t="inlineStr">
        <x:is>
          <x:t xml:space="preserve">用户原话</x:t>
        </x:is>
      </x:c>
      <x:c r="C1" s="39" t="inlineStr">
        <x:is>
          <x:t xml:space="preserve">国家/市场</x:t>
        </x:is>
      </x:c>
      <x:c r="D1" s="39" t="inlineStr">
        <x:is>
          <x:t xml:space="preserve">语言</x:t>
        </x:is>
      </x:c>
      <x:c r="E1" s="39" t="inlineStr">
        <x:is>
          <x:t xml:space="preserve">对应场景ID</x:t>
        </x:is>
      </x:c>
      <x:c r="F1" s="39" t="inlineStr">
        <x:is>
          <x:t xml:space="preserve">归一化场景</x:t>
        </x:is>
      </x:c>
      <x:c r="G1" s="39" t="inlineStr">
        <x:is>
          <x:t xml:space="preserve">问题类型</x:t>
        </x:is>
      </x:c>
      <x:c r="H1" s="39" t="inlineStr">
        <x:is>
          <x:t xml:space="preserve">分析说明</x:t>
        </x:is>
      </x:c>
    </x:row>
    <x:row r="2">
      <x:c r="A2" s="40" t="inlineStr">
        <x:is>
          <x:t xml:space="preserve">Q001</x:t>
        </x:is>
      </x:c>
      <x:c r="B2" s="41" t="inlineStr">
        <x:is>
          <x:t xml:space="preserve">我账户里还有多少分？</x:t>
        </x:is>
      </x:c>
      <x:c r="C2" s="41" t="inlineStr">
        <x:is>
          <x:t xml:space="preserve">SG</x:t>
        </x:is>
      </x:c>
      <x:c r="D2" s="41" t="inlineStr">
        <x:is>
          <x:t xml:space="preserve">zh-CN</x:t>
        </x:is>
      </x:c>
      <x:c r="E2" s="42" t="inlineStr">
        <x:is>
          <x:t xml:space="preserve">PTS-01</x:t>
        </x:is>
      </x:c>
      <x:c r="F2" s="42" t="inlineStr">
        <x:is>
          <x:t xml:space="preserve">积分余额查询</x:t>
        </x:is>
      </x:c>
      <x:c r="G2" s="42" t="inlineStr">
        <x:is>
          <x:t xml:space="preserve">资产查询</x:t>
        </x:is>
      </x:c>
      <x:c r="H2" s="42" t="inlineStr">
        <x:is>
          <x:t xml:space="preserve">同义表达“积分余额”</x:t>
        </x:is>
      </x:c>
    </x:row>
    <x:row r="3">
      <x:c r="A3" s="40" t="inlineStr">
        <x:is>
          <x:t xml:space="preserve">Q002</x:t>
        </x:is>
      </x:c>
      <x:c r="B3" s="41" t="inlineStr">
        <x:is>
          <x:t xml:space="preserve">Can you check my points balance?</x:t>
        </x:is>
      </x:c>
      <x:c r="C3" s="41" t="inlineStr">
        <x:is>
          <x:t xml:space="preserve">SG</x:t>
        </x:is>
      </x:c>
      <x:c r="D3" s="41" t="inlineStr">
        <x:is>
          <x:t xml:space="preserve">en</x:t>
        </x:is>
      </x:c>
      <x:c r="E3" s="42" t="inlineStr">
        <x:is>
          <x:t xml:space="preserve">PTS-01</x:t>
        </x:is>
      </x:c>
      <x:c r="F3" s="42" t="inlineStr">
        <x:is>
          <x:t xml:space="preserve">积分余额查询</x:t>
        </x:is>
      </x:c>
      <x:c r="G3" s="42" t="inlineStr">
        <x:is>
          <x:t xml:space="preserve">资产查询</x:t>
        </x:is>
      </x:c>
      <x:c r="H3" s="42" t="inlineStr">
        <x:is>
          <x:t xml:space="preserve">英文表达，需识别当前登录会员</x:t>
        </x:is>
      </x:c>
    </x:row>
    <x:row r="4">
      <x:c r="A4" s="40" t="inlineStr">
        <x:is>
          <x:t xml:space="preserve">Q003</x:t>
        </x:is>
      </x:c>
      <x:c r="B4" s="41" t="inlineStr">
        <x:is>
          <x:t xml:space="preserve">这个月快过期的积分有多少</x:t>
        </x:is>
      </x:c>
      <x:c r="C4" s="41" t="inlineStr">
        <x:is>
          <x:t xml:space="preserve">MY</x:t>
        </x:is>
      </x:c>
      <x:c r="D4" s="41" t="inlineStr">
        <x:is>
          <x:t xml:space="preserve">zh-CN</x:t>
        </x:is>
      </x:c>
      <x:c r="E4" s="42" t="inlineStr">
        <x:is>
          <x:t xml:space="preserve">PTS-04</x:t>
        </x:is>
      </x:c>
      <x:c r="F4" s="42" t="inlineStr">
        <x:is>
          <x:t xml:space="preserve">积分有效期/过期规则</x:t>
        </x:is>
      </x:c>
      <x:c r="G4" s="42" t="inlineStr">
        <x:is>
          <x:t xml:space="preserve">规则+资产</x:t>
        </x:is>
      </x:c>
      <x:c r="H4" s="42" t="inlineStr">
        <x:is>
          <x:t xml:space="preserve">同时涉及规则与个人过期批次</x:t>
        </x:is>
      </x:c>
    </x:row>
    <x:row r="5">
      <x:c r="A5" s="40" t="inlineStr">
        <x:is>
          <x:t xml:space="preserve">Q004</x:t>
        </x:is>
      </x:c>
      <x:c r="B5" s="41" t="inlineStr">
        <x:is>
          <x:t xml:space="preserve">How long are points valid?</x:t>
        </x:is>
      </x:c>
      <x:c r="C5" s="41" t="inlineStr">
        <x:is>
          <x:t xml:space="preserve">MY</x:t>
        </x:is>
      </x:c>
      <x:c r="D5" s="41" t="inlineStr">
        <x:is>
          <x:t xml:space="preserve">en</x:t>
        </x:is>
      </x:c>
      <x:c r="E5" s="42" t="inlineStr">
        <x:is>
          <x:t xml:space="preserve">PTS-04</x:t>
        </x:is>
      </x:c>
      <x:c r="F5" s="42" t="inlineStr">
        <x:is>
          <x:t xml:space="preserve">积分有效期/过期规则</x:t>
        </x:is>
      </x:c>
      <x:c r="G5" s="42" t="inlineStr">
        <x:is>
          <x:t xml:space="preserve">规则解释</x:t>
        </x:is>
      </x:c>
      <x:c r="H5" s="42" t="inlineStr">
        <x:is>
          <x:t xml:space="preserve">需要按国家检索有效规则</x:t>
        </x:is>
      </x:c>
    </x:row>
    <x:row r="6">
      <x:c r="A6" s="40" t="inlineStr">
        <x:is>
          <x:t xml:space="preserve">Q005</x:t>
        </x:is>
      </x:c>
      <x:c r="B6" s="41" t="inlineStr">
        <x:is>
          <x:t xml:space="preserve">昨天门店买了300块为什么没积分</x:t>
        </x:is>
      </x:c>
      <x:c r="C6" s="41" t="inlineStr">
        <x:is>
          <x:t xml:space="preserve">SG</x:t>
        </x:is>
      </x:c>
      <x:c r="D6" s="41" t="inlineStr">
        <x:is>
          <x:t xml:space="preserve">zh-CN</x:t>
        </x:is>
      </x:c>
      <x:c r="E6" s="42" t="inlineStr">
        <x:is>
          <x:t xml:space="preserve">PTS-05</x:t>
        </x:is>
      </x:c>
      <x:c r="F6" s="42" t="inlineStr">
        <x:is>
          <x:t xml:space="preserve">消费积分未到账</x:t>
        </x:is>
      </x:c>
      <x:c r="G6" s="42" t="inlineStr">
        <x:is>
          <x:t xml:space="preserve">异常诊断</x:t>
        </x:is>
      </x:c>
      <x:c r="H6" s="42" t="inlineStr">
        <x:is>
          <x:t xml:space="preserve">需要订单、积分流水与规则</x:t>
        </x:is>
      </x:c>
    </x:row>
    <x:row r="7">
      <x:c r="A7" s="40" t="inlineStr">
        <x:is>
          <x:t xml:space="preserve">Q006</x:t>
        </x:is>
      </x:c>
      <x:c r="B7" s="41" t="inlineStr">
        <x:is>
          <x:t xml:space="preserve">My points have not arrived after purchase</x:t>
        </x:is>
      </x:c>
      <x:c r="C7" s="41" t="inlineStr">
        <x:is>
          <x:t xml:space="preserve">TH</x:t>
        </x:is>
      </x:c>
      <x:c r="D7" s="41" t="inlineStr">
        <x:is>
          <x:t xml:space="preserve">en</x:t>
        </x:is>
      </x:c>
      <x:c r="E7" s="42" t="inlineStr">
        <x:is>
          <x:t xml:space="preserve">PTS-05</x:t>
        </x:is>
      </x:c>
      <x:c r="F7" s="42" t="inlineStr">
        <x:is>
          <x:t xml:space="preserve">消费积分未到账</x:t>
        </x:is>
      </x:c>
      <x:c r="G7" s="42" t="inlineStr">
        <x:is>
          <x:t xml:space="preserve">异常诊断</x:t>
        </x:is>
      </x:c>
      <x:c r="H7" s="42" t="inlineStr">
        <x:is>
          <x:t xml:space="preserve">跨语言同一场景</x:t>
        </x:is>
      </x:c>
    </x:row>
    <x:row r="8">
      <x:c r="A8" s="40" t="inlineStr">
        <x:is>
          <x:t xml:space="preserve">Q007</x:t>
        </x:is>
      </x:c>
      <x:c r="B8" s="41" t="inlineStr">
        <x:is>
          <x:t xml:space="preserve">积分怎么一下少了500</x:t>
        </x:is>
      </x:c>
      <x:c r="C8" s="41" t="inlineStr">
        <x:is>
          <x:t xml:space="preserve">ID</x:t>
        </x:is>
      </x:c>
      <x:c r="D8" s="41" t="inlineStr">
        <x:is>
          <x:t xml:space="preserve">zh-CN</x:t>
        </x:is>
      </x:c>
      <x:c r="E8" s="42" t="inlineStr">
        <x:is>
          <x:t xml:space="preserve">PTS-06</x:t>
        </x:is>
      </x:c>
      <x:c r="F8" s="42" t="inlineStr">
        <x:is>
          <x:t xml:space="preserve">积分异常扣减/过期</x:t>
        </x:is>
      </x:c>
      <x:c r="G8" s="42" t="inlineStr">
        <x:is>
          <x:t xml:space="preserve">异常诊断</x:t>
        </x:is>
      </x:c>
      <x:c r="H8" s="42" t="inlineStr">
        <x:is>
          <x:t xml:space="preserve">可能是过期、兑换、退款追回或调整</x:t>
        </x:is>
      </x:c>
    </x:row>
    <x:row r="9">
      <x:c r="A9" s="40" t="inlineStr">
        <x:is>
          <x:t xml:space="preserve">Q008</x:t>
        </x:is>
      </x:c>
      <x:c r="B9" s="41" t="inlineStr">
        <x:is>
          <x:t xml:space="preserve">退款了积分会扣回去吗</x:t>
        </x:is>
      </x:c>
      <x:c r="C9" s="41" t="inlineStr">
        <x:is>
          <x:t xml:space="preserve">VN</x:t>
        </x:is>
      </x:c>
      <x:c r="D9" s="41" t="inlineStr">
        <x:is>
          <x:t xml:space="preserve">zh-CN</x:t>
        </x:is>
      </x:c>
      <x:c r="E9" s="42" t="inlineStr">
        <x:is>
          <x:t xml:space="preserve">PTS-07</x:t>
        </x:is>
      </x:c>
      <x:c r="F9" s="42" t="inlineStr">
        <x:is>
          <x:t xml:space="preserve">退款后的积分调整</x:t>
        </x:is>
      </x:c>
      <x:c r="G9" s="42" t="inlineStr">
        <x:is>
          <x:t xml:space="preserve">规则解释/异常</x:t>
        </x:is>
      </x:c>
      <x:c r="H9" s="42" t="inlineStr">
        <x:is>
          <x:t xml:space="preserve">需要订单与规则结合</x:t>
        </x:is>
      </x:c>
    </x:row>
    <x:row r="10">
      <x:c r="A10" s="40" t="inlineStr">
        <x:is>
          <x:t xml:space="preserve">Q009</x:t>
        </x:is>
      </x:c>
      <x:c r="B10" s="41" t="inlineStr">
        <x:is>
          <x:t xml:space="preserve">乐园积分能在零售门店用吗</x:t>
        </x:is>
      </x:c>
      <x:c r="C10" s="41" t="inlineStr">
        <x:is>
          <x:t xml:space="preserve">SG</x:t>
        </x:is>
      </x:c>
      <x:c r="D10" s="41" t="inlineStr">
        <x:is>
          <x:t xml:space="preserve">zh-CN</x:t>
        </x:is>
      </x:c>
      <x:c r="E10" s="42" t="inlineStr">
        <x:is>
          <x:t xml:space="preserve">PTS-08</x:t>
        </x:is>
      </x:c>
      <x:c r="F10" s="42" t="inlineStr">
        <x:is>
          <x:t xml:space="preserve">跨业态积分通兑</x:t>
        </x:is>
      </x:c>
      <x:c r="G10" s="42" t="inlineStr">
        <x:is>
          <x:t xml:space="preserve">规则解释</x:t>
        </x:is>
      </x:c>
      <x:c r="H10" s="42" t="inlineStr">
        <x:is>
          <x:t xml:space="preserve">业务线边界问题</x:t>
        </x:is>
      </x:c>
    </x:row>
    <x:row r="11">
      <x:c r="A11" s="40" t="inlineStr">
        <x:is>
          <x:t xml:space="preserve">Q010</x:t>
        </x:is>
      </x:c>
      <x:c r="B11" s="41" t="inlineStr">
        <x:is>
          <x:t xml:space="preserve">Can I transfer points to my friend?</x:t>
        </x:is>
      </x:c>
      <x:c r="C11" s="41" t="inlineStr">
        <x:is>
          <x:t xml:space="preserve">MY</x:t>
        </x:is>
      </x:c>
      <x:c r="D11" s="41" t="inlineStr">
        <x:is>
          <x:t xml:space="preserve">en</x:t>
        </x:is>
      </x:c>
      <x:c r="E11" s="42" t="inlineStr">
        <x:is>
          <x:t xml:space="preserve">PTS-10</x:t>
        </x:is>
      </x:c>
      <x:c r="F11" s="42" t="inlineStr">
        <x:is>
          <x:t xml:space="preserve">积分转赠/跨账号转移</x:t>
        </x:is>
      </x:c>
      <x:c r="G11" s="42" t="inlineStr">
        <x:is>
          <x:t xml:space="preserve">规则解释</x:t>
        </x:is>
      </x:c>
      <x:c r="H11" s="42" t="inlineStr">
        <x:is>
          <x:t xml:space="preserve">低频规则问题</x:t>
        </x:is>
      </x:c>
    </x:row>
    <x:row r="12">
      <x:c r="A12" s="40" t="inlineStr">
        <x:is>
          <x:t xml:space="preserve">Q011</x:t>
        </x:is>
      </x:c>
      <x:c r="B12" s="41" t="inlineStr">
        <x:is>
          <x:t xml:space="preserve">我有什么优惠券</x:t>
        </x:is>
      </x:c>
      <x:c r="C12" s="41" t="inlineStr">
        <x:is>
          <x:t xml:space="preserve">SG</x:t>
        </x:is>
      </x:c>
      <x:c r="D12" s="41" t="inlineStr">
        <x:is>
          <x:t xml:space="preserve">zh-CN</x:t>
        </x:is>
      </x:c>
      <x:c r="E12" s="42" t="inlineStr">
        <x:is>
          <x:t xml:space="preserve">CPN-01</x:t>
        </x:is>
      </x:c>
      <x:c r="F12" s="42" t="inlineStr">
        <x:is>
          <x:t xml:space="preserve">可用优惠券查询</x:t>
        </x:is>
      </x:c>
      <x:c r="G12" s="42" t="inlineStr">
        <x:is>
          <x:t xml:space="preserve">资产查询</x:t>
        </x:is>
      </x:c>
      <x:c r="H12" s="42" t="inlineStr">
        <x:is>
          <x:t xml:space="preserve">查询当前账户券实例</x:t>
        </x:is>
      </x:c>
    </x:row>
    <x:row r="13">
      <x:c r="A13" s="40" t="inlineStr">
        <x:is>
          <x:t xml:space="preserve">Q012</x:t>
        </x:is>
      </x:c>
      <x:c r="B13" s="41" t="inlineStr">
        <x:is>
          <x:t xml:space="preserve">Show me coupons I can use today</x:t>
        </x:is>
      </x:c>
      <x:c r="C13" s="41" t="inlineStr">
        <x:is>
          <x:t xml:space="preserve">SG</x:t>
        </x:is>
      </x:c>
      <x:c r="D13" s="41" t="inlineStr">
        <x:is>
          <x:t xml:space="preserve">en</x:t>
        </x:is>
      </x:c>
      <x:c r="E13" s="42" t="inlineStr">
        <x:is>
          <x:t xml:space="preserve">CPN-01</x:t>
        </x:is>
      </x:c>
      <x:c r="F13" s="42" t="inlineStr">
        <x:is>
          <x:t xml:space="preserve">可用优惠券查询</x:t>
        </x:is>
      </x:c>
      <x:c r="G13" s="42" t="inlineStr">
        <x:is>
          <x:t xml:space="preserve">资产查询</x:t>
        </x:is>
      </x:c>
      <x:c r="H13" s="42" t="inlineStr">
        <x:is>
          <x:t xml:space="preserve">可增加当日有效过滤</x:t>
        </x:is>
      </x:c>
    </x:row>
    <x:row r="14">
      <x:c r="A14" s="40" t="inlineStr">
        <x:is>
          <x:t xml:space="preserve">Q013</x:t>
        </x:is>
      </x:c>
      <x:c r="B14" s="41" t="inlineStr">
        <x:is>
          <x:t xml:space="preserve">这张券满多少能用</x:t>
        </x:is>
      </x:c>
      <x:c r="C14" s="41" t="inlineStr">
        <x:is>
          <x:t xml:space="preserve">MY</x:t>
        </x:is>
      </x:c>
      <x:c r="D14" s="41" t="inlineStr">
        <x:is>
          <x:t xml:space="preserve">zh-CN</x:t>
        </x:is>
      </x:c>
      <x:c r="E14" s="42" t="inlineStr">
        <x:is>
          <x:t xml:space="preserve">CPN-02</x:t>
        </x:is>
      </x:c>
      <x:c r="F14" s="42" t="inlineStr">
        <x:is>
          <x:t xml:space="preserve">券使用条件解释</x:t>
        </x:is>
      </x:c>
      <x:c r="G14" s="42" t="inlineStr">
        <x:is>
          <x:t xml:space="preserve">规则解释</x:t>
        </x:is>
      </x:c>
      <x:c r="H14" s="42" t="inlineStr">
        <x:is>
          <x:t xml:space="preserve">需要具体券ID</x:t>
        </x:is>
      </x:c>
    </x:row>
    <x:row r="15">
      <x:c r="A15" s="40" t="inlineStr">
        <x:is>
          <x:t xml:space="preserve">Q014</x:t>
        </x:is>
      </x:c>
      <x:c r="B15" s="41" t="inlineStr">
        <x:is>
          <x:t xml:space="preserve">这券能不能网店用</x:t>
        </x:is>
      </x:c>
      <x:c r="C15" s="41" t="inlineStr">
        <x:is>
          <x:t xml:space="preserve">SG</x:t>
        </x:is>
      </x:c>
      <x:c r="D15" s="41" t="inlineStr">
        <x:is>
          <x:t xml:space="preserve">zh-CN</x:t>
        </x:is>
      </x:c>
      <x:c r="E15" s="42" t="inlineStr">
        <x:is>
          <x:t xml:space="preserve">CPN-03</x:t>
        </x:is>
      </x:c>
      <x:c r="F15" s="42" t="inlineStr">
        <x:is>
          <x:t xml:space="preserve">适用门店/渠道查询</x:t>
        </x:is>
      </x:c>
      <x:c r="G15" s="42" t="inlineStr">
        <x:is>
          <x:t xml:space="preserve">规则解释/资产</x:t>
        </x:is>
      </x:c>
      <x:c r="H15" s="42" t="inlineStr">
        <x:is>
          <x:t xml:space="preserve">需要渠道范围</x:t>
        </x:is>
      </x:c>
    </x:row>
    <x:row r="16">
      <x:c r="A16" s="40" t="inlineStr">
        <x:is>
          <x:t xml:space="preserve">Q015</x:t>
        </x:is>
      </x:c>
      <x:c r="B16" s="41" t="inlineStr">
        <x:is>
          <x:t xml:space="preserve">会员折扣和满减券能一起用吗</x:t>
        </x:is>
      </x:c>
      <x:c r="C16" s="41" t="inlineStr">
        <x:is>
          <x:t xml:space="preserve">SG</x:t>
        </x:is>
      </x:c>
      <x:c r="D16" s="41" t="inlineStr">
        <x:is>
          <x:t xml:space="preserve">zh-CN</x:t>
        </x:is>
      </x:c>
      <x:c r="E16" s="42" t="inlineStr">
        <x:is>
          <x:t xml:space="preserve">CPN-04</x:t>
        </x:is>
      </x:c>
      <x:c r="F16" s="42" t="inlineStr">
        <x:is>
          <x:t xml:space="preserve">叠加/互斥规则</x:t>
        </x:is>
      </x:c>
      <x:c r="G16" s="42" t="inlineStr">
        <x:is>
          <x:t xml:space="preserve">规则解释</x:t>
        </x:is>
      </x:c>
      <x:c r="H16" s="42" t="inlineStr">
        <x:is>
          <x:t xml:space="preserve">组合优惠规则</x:t>
        </x:is>
      </x:c>
    </x:row>
    <x:row r="17">
      <x:c r="A17" s="40" t="inlineStr">
        <x:is>
          <x:t xml:space="preserve">Q016</x:t>
        </x:is>
      </x:c>
      <x:c r="B17" s="41" t="inlineStr">
        <x:is>
          <x:t xml:space="preserve">说好注册送券为什么没看见</x:t>
        </x:is>
      </x:c>
      <x:c r="C17" s="41" t="inlineStr">
        <x:is>
          <x:t xml:space="preserve">TH</x:t>
        </x:is>
      </x:c>
      <x:c r="D17" s="41" t="inlineStr">
        <x:is>
          <x:t xml:space="preserve">zh-CN</x:t>
        </x:is>
      </x:c>
      <x:c r="E17" s="42" t="inlineStr">
        <x:is>
          <x:t xml:space="preserve">CPN-05</x:t>
        </x:is>
      </x:c>
      <x:c r="F17" s="42" t="inlineStr">
        <x:is>
          <x:t xml:space="preserve">优惠券未到账</x:t>
        </x:is>
      </x:c>
      <x:c r="G17" s="42" t="inlineStr">
        <x:is>
          <x:t xml:space="preserve">异常诊断</x:t>
        </x:is>
      </x:c>
      <x:c r="H17" s="42" t="inlineStr">
        <x:is>
          <x:t xml:space="preserve">核对活动资格和发放</x:t>
        </x:is>
      </x:c>
    </x:row>
    <x:row r="18">
      <x:c r="A18" s="40" t="inlineStr">
        <x:is>
          <x:t xml:space="preserve">Q017</x:t>
        </x:is>
      </x:c>
      <x:c r="B18" s="41" t="inlineStr">
        <x:is>
          <x:t xml:space="preserve">券没到期但是结账用不了</x:t>
        </x:is>
      </x:c>
      <x:c r="C18" s="41" t="inlineStr">
        <x:is>
          <x:t xml:space="preserve">MY</x:t>
        </x:is>
      </x:c>
      <x:c r="D18" s="41" t="inlineStr">
        <x:is>
          <x:t xml:space="preserve">zh-CN</x:t>
        </x:is>
      </x:c>
      <x:c r="E18" s="42" t="inlineStr">
        <x:is>
          <x:t xml:space="preserve">CPN-06</x:t>
        </x:is>
      </x:c>
      <x:c r="F18" s="42" t="inlineStr">
        <x:is>
          <x:t xml:space="preserve">优惠券无法使用</x:t>
        </x:is>
      </x:c>
      <x:c r="G18" s="42" t="inlineStr">
        <x:is>
          <x:t xml:space="preserve">异常诊断</x:t>
        </x:is>
      </x:c>
      <x:c r="H18" s="42" t="inlineStr">
        <x:is>
          <x:t xml:space="preserve">券状态、门槛、商品、互斥多因素</x:t>
        </x:is>
      </x:c>
    </x:row>
    <x:row r="19">
      <x:c r="A19" s="40" t="inlineStr">
        <x:is>
          <x:t xml:space="preserve">Q018</x:t>
        </x:is>
      </x:c>
      <x:c r="B19" s="41" t="inlineStr">
        <x:is>
          <x:t xml:space="preserve">Coupon is valid but cannot be applied</x:t>
        </x:is>
      </x:c>
      <x:c r="C19" s="41" t="inlineStr">
        <x:is>
          <x:t xml:space="preserve">MY</x:t>
        </x:is>
      </x:c>
      <x:c r="D19" s="41" t="inlineStr">
        <x:is>
          <x:t xml:space="preserve">en</x:t>
        </x:is>
      </x:c>
      <x:c r="E19" s="42" t="inlineStr">
        <x:is>
          <x:t xml:space="preserve">CPN-06</x:t>
        </x:is>
      </x:c>
      <x:c r="F19" s="42" t="inlineStr">
        <x:is>
          <x:t xml:space="preserve">优惠券无法使用</x:t>
        </x:is>
      </x:c>
      <x:c r="G19" s="42" t="inlineStr">
        <x:is>
          <x:t xml:space="preserve">异常诊断</x:t>
        </x:is>
      </x:c>
      <x:c r="H19" s="42" t="inlineStr">
        <x:is>
          <x:t xml:space="preserve">英文同场景</x:t>
        </x:is>
      </x:c>
    </x:row>
    <x:row r="20">
      <x:c r="A20" s="40" t="inlineStr">
        <x:is>
          <x:t xml:space="preserve">Q019</x:t>
        </x:is>
      </x:c>
      <x:c r="B20" s="41" t="inlineStr">
        <x:is>
          <x:t xml:space="preserve">券昨天到期能不能延长</x:t>
        </x:is>
      </x:c>
      <x:c r="C20" s="41" t="inlineStr">
        <x:is>
          <x:t xml:space="preserve">VN</x:t>
        </x:is>
      </x:c>
      <x:c r="D20" s="41" t="inlineStr">
        <x:is>
          <x:t xml:space="preserve">zh-CN</x:t>
        </x:is>
      </x:c>
      <x:c r="E20" s="42" t="inlineStr">
        <x:is>
          <x:t xml:space="preserve">CPN-07</x:t>
        </x:is>
      </x:c>
      <x:c r="F20" s="42" t="inlineStr">
        <x:is>
          <x:t xml:space="preserve">优惠券过期</x:t>
        </x:is>
      </x:c>
      <x:c r="G20" s="42" t="inlineStr">
        <x:is>
          <x:t xml:space="preserve">规则解释/人工</x:t>
        </x:is>
      </x:c>
      <x:c r="H20" s="42" t="inlineStr">
        <x:is>
          <x:t xml:space="preserve">补偿诉求不可自动承诺</x:t>
        </x:is>
      </x:c>
    </x:row>
    <x:row r="21">
      <x:c r="A21" s="40" t="inlineStr">
        <x:is>
          <x:t xml:space="preserve">Q020</x:t>
        </x:is>
      </x:c>
      <x:c r="B21" s="41" t="inlineStr">
        <x:is>
          <x:t xml:space="preserve">这张券我没用过怎么显示已使用</x:t>
        </x:is>
      </x:c>
      <x:c r="C21" s="41" t="inlineStr">
        <x:is>
          <x:t xml:space="preserve">SG</x:t>
        </x:is>
      </x:c>
      <x:c r="D21" s="41" t="inlineStr">
        <x:is>
          <x:t xml:space="preserve">zh-CN</x:t>
        </x:is>
      </x:c>
      <x:c r="E21" s="42" t="inlineStr">
        <x:is>
          <x:t xml:space="preserve">CPN-08</x:t>
        </x:is>
      </x:c>
      <x:c r="F21" s="42" t="inlineStr">
        <x:is>
          <x:t xml:space="preserve">券显示已使用但用户否认</x:t>
        </x:is>
      </x:c>
      <x:c r="G21" s="42" t="inlineStr">
        <x:is>
          <x:t xml:space="preserve">投诉/异常</x:t>
        </x:is>
      </x:c>
      <x:c r="H21" s="42" t="inlineStr">
        <x:is>
          <x:t xml:space="preserve">潜在资产盗用，转人工</x:t>
        </x:is>
      </x:c>
    </x:row>
    <x:row r="22">
      <x:c r="A22" s="40" t="inlineStr">
        <x:is>
          <x:t xml:space="preserve">Q021</x:t>
        </x:is>
      </x:c>
      <x:c r="B22" s="41" t="inlineStr">
        <x:is>
          <x:t xml:space="preserve">订单退了，券什么时候退回来</x:t>
        </x:is>
      </x:c>
      <x:c r="C22" s="41" t="inlineStr">
        <x:is>
          <x:t xml:space="preserve">ID</x:t>
        </x:is>
      </x:c>
      <x:c r="D22" s="41" t="inlineStr">
        <x:is>
          <x:t xml:space="preserve">zh-CN</x:t>
        </x:is>
      </x:c>
      <x:c r="E22" s="42" t="inlineStr">
        <x:is>
          <x:t xml:space="preserve">CPN-09</x:t>
        </x:is>
      </x:c>
      <x:c r="F22" s="42" t="inlineStr">
        <x:is>
          <x:t xml:space="preserve">退款后的券返还</x:t>
        </x:is>
      </x:c>
      <x:c r="G22" s="42" t="inlineStr">
        <x:is>
          <x:t xml:space="preserve">规则解释/异常</x:t>
        </x:is>
      </x:c>
      <x:c r="H22" s="42" t="inlineStr">
        <x:is>
          <x:t xml:space="preserve">退款与券返还状态</x:t>
        </x:is>
      </x:c>
    </x:row>
    <x:row r="23">
      <x:c r="A23" s="40" t="inlineStr">
        <x:is>
          <x:t xml:space="preserve">Q022</x:t>
        </x:is>
      </x:c>
      <x:c r="B23" s="41" t="inlineStr">
        <x:is>
          <x:t xml:space="preserve">补我一张券可以吗</x:t>
        </x:is>
      </x:c>
      <x:c r="C23" s="41" t="inlineStr">
        <x:is>
          <x:t xml:space="preserve">SG</x:t>
        </x:is>
      </x:c>
      <x:c r="D23" s="41" t="inlineStr">
        <x:is>
          <x:t xml:space="preserve">zh-CN</x:t>
        </x:is>
      </x:c>
      <x:c r="E23" s="42" t="inlineStr">
        <x:is>
          <x:t xml:space="preserve">CPN-10</x:t>
        </x:is>
      </x:c>
      <x:c r="F23" s="42" t="inlineStr">
        <x:is>
          <x:t xml:space="preserve">补券/赔偿请求</x:t>
        </x:is>
      </x:c>
      <x:c r="G23" s="42" t="inlineStr">
        <x:is>
          <x:t xml:space="preserve">人工处理</x:t>
        </x:is>
      </x:c>
      <x:c r="H23" s="42" t="inlineStr">
        <x:is>
          <x:t xml:space="preserve">涉及补偿权限</x:t>
        </x:is>
      </x:c>
    </x:row>
    <x:row r="24">
      <x:c r="A24" s="40" t="inlineStr">
        <x:is>
          <x:t xml:space="preserve">Q023</x:t>
        </x:is>
      </x:c>
      <x:c r="B24" s="41" t="inlineStr">
        <x:is>
          <x:t xml:space="preserve">我是什么等级</x:t>
        </x:is>
      </x:c>
      <x:c r="C24" s="41" t="inlineStr">
        <x:is>
          <x:t xml:space="preserve">SG</x:t>
        </x:is>
      </x:c>
      <x:c r="D24" s="41" t="inlineStr">
        <x:is>
          <x:t xml:space="preserve">zh-CN</x:t>
        </x:is>
      </x:c>
      <x:c r="E24" s="42" t="inlineStr">
        <x:is>
          <x:t xml:space="preserve">LVL-01</x:t>
        </x:is>
      </x:c>
      <x:c r="F24" s="42" t="inlineStr">
        <x:is>
          <x:t xml:space="preserve">当前等级查询</x:t>
        </x:is>
      </x:c>
      <x:c r="G24" s="42" t="inlineStr">
        <x:is>
          <x:t xml:space="preserve">资产查询</x:t>
        </x:is>
      </x:c>
      <x:c r="H24" s="42" t="inlineStr">
        <x:is>
          <x:t xml:space="preserve">当前等级数据</x:t>
        </x:is>
      </x:c>
    </x:row>
    <x:row r="25">
      <x:c r="A25" s="40" t="inlineStr">
        <x:is>
          <x:t xml:space="preserve">Q024</x:t>
        </x:is>
      </x:c>
      <x:c r="B25" s="41" t="inlineStr">
        <x:is>
          <x:t xml:space="preserve">还差多少升级金卡</x:t>
        </x:is>
      </x:c>
      <x:c r="C25" s="41" t="inlineStr">
        <x:is>
          <x:t xml:space="preserve">MY</x:t>
        </x:is>
      </x:c>
      <x:c r="D25" s="41" t="inlineStr">
        <x:is>
          <x:t xml:space="preserve">zh-CN</x:t>
        </x:is>
      </x:c>
      <x:c r="E25" s="42" t="inlineStr">
        <x:is>
          <x:t xml:space="preserve">LVL-02</x:t>
        </x:is>
      </x:c>
      <x:c r="F25" s="42" t="inlineStr">
        <x:is>
          <x:t xml:space="preserve">成长值查询</x:t>
        </x:is>
      </x:c>
      <x:c r="G25" s="42" t="inlineStr">
        <x:is>
          <x:t xml:space="preserve">资产查询</x:t>
        </x:is>
      </x:c>
      <x:c r="H25" s="42" t="inlineStr">
        <x:is>
          <x:t xml:space="preserve">成长值与阈值</x:t>
        </x:is>
      </x:c>
    </x:row>
    <x:row r="26">
      <x:c r="A26" s="40" t="inlineStr">
        <x:is>
          <x:t xml:space="preserve">Q025</x:t>
        </x:is>
      </x:c>
      <x:c r="B26" s="41" t="inlineStr">
        <x:is>
          <x:t xml:space="preserve">金卡怎么升</x:t>
        </x:is>
      </x:c>
      <x:c r="C26" s="41" t="inlineStr">
        <x:is>
          <x:t xml:space="preserve">TH</x:t>
        </x:is>
      </x:c>
      <x:c r="D26" s="41" t="inlineStr">
        <x:is>
          <x:t xml:space="preserve">zh-CN</x:t>
        </x:is>
      </x:c>
      <x:c r="E26" s="42" t="inlineStr">
        <x:is>
          <x:t xml:space="preserve">LVL-03</x:t>
        </x:is>
      </x:c>
      <x:c r="F26" s="42" t="inlineStr">
        <x:is>
          <x:t xml:space="preserve">升级/保级规则</x:t>
        </x:is>
      </x:c>
      <x:c r="G26" s="42" t="inlineStr">
        <x:is>
          <x:t xml:space="preserve">规则解释</x:t>
        </x:is>
      </x:c>
      <x:c r="H26" s="42" t="inlineStr">
        <x:is>
          <x:t xml:space="preserve">规则问题</x:t>
        </x:is>
      </x:c>
    </x:row>
    <x:row r="27">
      <x:c r="A27" s="40" t="inlineStr">
        <x:is>
          <x:t xml:space="preserve">Q026</x:t>
        </x:is>
      </x:c>
      <x:c r="B27" s="41" t="inlineStr">
        <x:is>
          <x:t xml:space="preserve">买了东西成长值没变</x:t>
        </x:is>
      </x:c>
      <x:c r="C27" s="41" t="inlineStr">
        <x:is>
          <x:t xml:space="preserve">SG</x:t>
        </x:is>
      </x:c>
      <x:c r="D27" s="41" t="inlineStr">
        <x:is>
          <x:t xml:space="preserve">zh-CN</x:t>
        </x:is>
      </x:c>
      <x:c r="E27" s="42" t="inlineStr">
        <x:is>
          <x:t xml:space="preserve">LVL-04</x:t>
        </x:is>
      </x:c>
      <x:c r="F27" s="42" t="inlineStr">
        <x:is>
          <x:t xml:space="preserve">成长值未到账</x:t>
        </x:is>
      </x:c>
      <x:c r="G27" s="42" t="inlineStr">
        <x:is>
          <x:t xml:space="preserve">异常诊断</x:t>
        </x:is>
      </x:c>
      <x:c r="H27" s="42" t="inlineStr">
        <x:is>
          <x:t xml:space="preserve">订单和成长值流水</x:t>
        </x:is>
      </x:c>
    </x:row>
    <x:row r="28">
      <x:c r="A28" s="40" t="inlineStr">
        <x:is>
          <x:t xml:space="preserve">Q027</x:t>
        </x:is>
      </x:c>
      <x:c r="B28" s="41" t="inlineStr">
        <x:is>
          <x:t xml:space="preserve">为什么我降级了</x:t>
        </x:is>
      </x:c>
      <x:c r="C28" s="41" t="inlineStr">
        <x:is>
          <x:t xml:space="preserve">MY</x:t>
        </x:is>
      </x:c>
      <x:c r="D28" s="41" t="inlineStr">
        <x:is>
          <x:t xml:space="preserve">zh-CN</x:t>
        </x:is>
      </x:c>
      <x:c r="E28" s="42" t="inlineStr">
        <x:is>
          <x:t xml:space="preserve">LVL-05</x:t>
        </x:is>
      </x:c>
      <x:c r="F28" s="42" t="inlineStr">
        <x:is>
          <x:t xml:space="preserve">降级/等级失效</x:t>
        </x:is>
      </x:c>
      <x:c r="G28" s="42" t="inlineStr">
        <x:is>
          <x:t xml:space="preserve">异常诊断</x:t>
        </x:is>
      </x:c>
      <x:c r="H28" s="42" t="inlineStr">
        <x:is>
          <x:t xml:space="preserve">等级历史和保级规则</x:t>
        </x:is>
      </x:c>
    </x:row>
    <x:row r="29">
      <x:c r="A29" s="40" t="inlineStr">
        <x:is>
          <x:t xml:space="preserve">Q028</x:t>
        </x:is>
      </x:c>
      <x:c r="B29" s="41" t="inlineStr">
        <x:is>
          <x:t xml:space="preserve">When does my paid membership expire?</x:t>
        </x:is>
      </x:c>
      <x:c r="C29" s="41" t="inlineStr">
        <x:is>
          <x:t xml:space="preserve">SG</x:t>
        </x:is>
      </x:c>
      <x:c r="D29" s="41" t="inlineStr">
        <x:is>
          <x:t xml:space="preserve">en</x:t>
        </x:is>
      </x:c>
      <x:c r="E29" s="42" t="inlineStr">
        <x:is>
          <x:t xml:space="preserve">LVL-06</x:t>
        </x:is>
      </x:c>
      <x:c r="F29" s="42" t="inlineStr">
        <x:is>
          <x:t xml:space="preserve">付费会员购买/续费</x:t>
        </x:is>
      </x:c>
      <x:c r="G29" s="42" t="inlineStr">
        <x:is>
          <x:t xml:space="preserve">资产查询/规则</x:t>
        </x:is>
      </x:c>
      <x:c r="H29" s="42" t="inlineStr">
        <x:is>
          <x:t xml:space="preserve">付费会员状态</x:t>
        </x:is>
      </x:c>
    </x:row>
    <x:row r="30">
      <x:c r="A30" s="40" t="inlineStr">
        <x:is>
          <x:t xml:space="preserve">Q029</x:t>
        </x:is>
      </x:c>
      <x:c r="B30" s="41" t="inlineStr">
        <x:is>
          <x:t xml:space="preserve">金卡有什么权益</x:t>
        </x:is>
      </x:c>
      <x:c r="C30" s="41" t="inlineStr">
        <x:is>
          <x:t xml:space="preserve">SG</x:t>
        </x:is>
      </x:c>
      <x:c r="D30" s="41" t="inlineStr">
        <x:is>
          <x:t xml:space="preserve">zh-CN</x:t>
        </x:is>
      </x:c>
      <x:c r="E30" s="42" t="inlineStr">
        <x:is>
          <x:t xml:space="preserve">BEN-01</x:t>
        </x:is>
      </x:c>
      <x:c r="F30" s="42" t="inlineStr">
        <x:is>
          <x:t xml:space="preserve">当前可用权益查询</x:t>
        </x:is>
      </x:c>
      <x:c r="G30" s="42" t="inlineStr">
        <x:is>
          <x:t xml:space="preserve">资产查询/规则</x:t>
        </x:is>
      </x:c>
      <x:c r="H30" s="42" t="inlineStr">
        <x:is>
          <x:t xml:space="preserve">等级权益与已发权益要区分</x:t>
        </x:is>
      </x:c>
    </x:row>
    <x:row r="31">
      <x:c r="A31" s="40" t="inlineStr">
        <x:is>
          <x:t xml:space="preserve">Q030</x:t>
        </x:is>
      </x:c>
      <x:c r="B31" s="41" t="inlineStr">
        <x:is>
          <x:t xml:space="preserve">生日礼什么时候发</x:t>
        </x:is>
      </x:c>
      <x:c r="C31" s="41" t="inlineStr">
        <x:is>
          <x:t xml:space="preserve">MY</x:t>
        </x:is>
      </x:c>
      <x:c r="D31" s="41" t="inlineStr">
        <x:is>
          <x:t xml:space="preserve">zh-CN</x:t>
        </x:is>
      </x:c>
      <x:c r="E31" s="42" t="inlineStr">
        <x:is>
          <x:t xml:space="preserve">BEN-02</x:t>
        </x:is>
      </x:c>
      <x:c r="F31" s="42" t="inlineStr">
        <x:is>
          <x:t xml:space="preserve">生日礼规则</x:t>
        </x:is>
      </x:c>
      <x:c r="G31" s="42" t="inlineStr">
        <x:is>
          <x:t xml:space="preserve">规则解释</x:t>
        </x:is>
      </x:c>
      <x:c r="H31" s="42" t="inlineStr">
        <x:is>
          <x:t xml:space="preserve">资格与发放时间</x:t>
        </x:is>
      </x:c>
    </x:row>
    <x:row r="32">
      <x:c r="A32" s="40" t="inlineStr">
        <x:is>
          <x:t xml:space="preserve">Q031</x:t>
        </x:is>
      </x:c>
      <x:c r="B32" s="41" t="inlineStr">
        <x:is>
          <x:t xml:space="preserve">今天生日为什么没收到礼物</x:t>
        </x:is>
      </x:c>
      <x:c r="C32" s="41" t="inlineStr">
        <x:is>
          <x:t xml:space="preserve">SG</x:t>
        </x:is>
      </x:c>
      <x:c r="D32" s="41" t="inlineStr">
        <x:is>
          <x:t xml:space="preserve">zh-CN</x:t>
        </x:is>
      </x:c>
      <x:c r="E32" s="42" t="inlineStr">
        <x:is>
          <x:t xml:space="preserve">BEN-03</x:t>
        </x:is>
      </x:c>
      <x:c r="F32" s="42" t="inlineStr">
        <x:is>
          <x:t xml:space="preserve">生日礼未发</x:t>
        </x:is>
      </x:c>
      <x:c r="G32" s="42" t="inlineStr">
        <x:is>
          <x:t xml:space="preserve">异常诊断</x:t>
        </x:is>
      </x:c>
      <x:c r="H32" s="42" t="inlineStr">
        <x:is>
          <x:t xml:space="preserve">生日、等级、发放记录</x:t>
        </x:is>
      </x:c>
    </x:row>
    <x:row r="33">
      <x:c r="A33" s="40" t="inlineStr">
        <x:is>
          <x:t xml:space="preserve">Q032</x:t>
        </x:is>
      </x:c>
      <x:c r="B33" s="41" t="inlineStr">
        <x:is>
          <x:t xml:space="preserve">我是会员结账怎么没折扣</x:t>
        </x:is>
      </x:c>
      <x:c r="C33" s="41" t="inlineStr">
        <x:is>
          <x:t xml:space="preserve">TH</x:t>
        </x:is>
      </x:c>
      <x:c r="D33" s="41" t="inlineStr">
        <x:is>
          <x:t xml:space="preserve">zh-CN</x:t>
        </x:is>
      </x:c>
      <x:c r="E33" s="42" t="inlineStr">
        <x:is>
          <x:t xml:space="preserve">BEN-04</x:t>
        </x:is>
      </x:c>
      <x:c r="F33" s="42" t="inlineStr">
        <x:is>
          <x:t xml:space="preserve">会员折扣未生效</x:t>
        </x:is>
      </x:c>
      <x:c r="G33" s="42" t="inlineStr">
        <x:is>
          <x:t xml:space="preserve">异常诊断</x:t>
        </x:is>
      </x:c>
      <x:c r="H33" s="42" t="inlineStr">
        <x:is>
          <x:t xml:space="preserve">身份、商品、门店与叠加规则</x:t>
        </x:is>
      </x:c>
    </x:row>
    <x:row r="34">
      <x:c r="A34" s="40" t="inlineStr">
        <x:is>
          <x:t xml:space="preserve">Q033</x:t>
        </x:is>
      </x:c>
      <x:c r="B34" s="41" t="inlineStr">
        <x:is>
          <x:t xml:space="preserve">我上个月的权益券用过没</x:t>
        </x:is>
      </x:c>
      <x:c r="C34" s="41" t="inlineStr">
        <x:is>
          <x:t xml:space="preserve">SG</x:t>
        </x:is>
      </x:c>
      <x:c r="D34" s="41" t="inlineStr">
        <x:is>
          <x:t xml:space="preserve">zh-CN</x:t>
        </x:is>
      </x:c>
      <x:c r="E34" s="42" t="inlineStr">
        <x:is>
          <x:t xml:space="preserve">BEN-05</x:t>
        </x:is>
      </x:c>
      <x:c r="F34" s="42" t="inlineStr">
        <x:is>
          <x:t xml:space="preserve">权益领取/核销记录</x:t>
        </x:is>
      </x:c>
      <x:c r="G34" s="42" t="inlineStr">
        <x:is>
          <x:t xml:space="preserve">资产查询</x:t>
        </x:is>
      </x:c>
      <x:c r="H34" s="42" t="inlineStr">
        <x:is>
          <x:t xml:space="preserve">查询权益记录</x:t>
        </x:is>
      </x:c>
    </x:row>
    <x:row r="35">
      <x:c r="A35" s="40" t="inlineStr">
        <x:is>
          <x:t xml:space="preserve">Q034</x:t>
        </x:is>
      </x:c>
      <x:c r="B35" s="41" t="inlineStr">
        <x:is>
          <x:t xml:space="preserve">没用到会员福利能补吗</x:t>
        </x:is>
      </x:c>
      <x:c r="C35" s="41" t="inlineStr">
        <x:is>
          <x:t xml:space="preserve">MY</x:t>
        </x:is>
      </x:c>
      <x:c r="D35" s="41" t="inlineStr">
        <x:is>
          <x:t xml:space="preserve">zh-CN</x:t>
        </x:is>
      </x:c>
      <x:c r="E35" s="42" t="inlineStr">
        <x:is>
          <x:t xml:space="preserve">BEN-06</x:t>
        </x:is>
      </x:c>
      <x:c r="F35" s="42" t="inlineStr">
        <x:is>
          <x:t xml:space="preserve">权益补发/补偿</x:t>
        </x:is>
      </x:c>
      <x:c r="G35" s="42" t="inlineStr">
        <x:is>
          <x:t xml:space="preserve">人工处理</x:t>
        </x:is>
      </x:c>
      <x:c r="H35" s="42" t="inlineStr">
        <x:is>
          <x:t xml:space="preserve">补偿审批</x:t>
        </x:is>
      </x:c>
    </x:row>
    <x:row r="36">
      <x:c r="A36" s="40" t="inlineStr">
        <x:is>
          <x:t xml:space="preserve">Q035</x:t>
        </x:is>
      </x:c>
      <x:c r="B36" s="41" t="inlineStr">
        <x:is>
          <x:t xml:space="preserve">为什么我不能参加这个活动</x:t>
        </x:is>
      </x:c>
      <x:c r="C36" s="41" t="inlineStr">
        <x:is>
          <x:t xml:space="preserve">SG</x:t>
        </x:is>
      </x:c>
      <x:c r="D36" s="41" t="inlineStr">
        <x:is>
          <x:t xml:space="preserve">zh-CN</x:t>
        </x:is>
      </x:c>
      <x:c r="E36" s="42" t="inlineStr">
        <x:is>
          <x:t xml:space="preserve">ACT-01</x:t>
        </x:is>
      </x:c>
      <x:c r="F36" s="42" t="inlineStr">
        <x:is>
          <x:t xml:space="preserve">活动参与资格</x:t>
        </x:is>
      </x:c>
      <x:c r="G36" s="42" t="inlineStr">
        <x:is>
          <x:t xml:space="preserve">规则解释/异常</x:t>
        </x:is>
      </x:c>
      <x:c r="H36" s="42" t="inlineStr">
        <x:is>
          <x:t xml:space="preserve">资格和人群规则</x:t>
        </x:is>
      </x:c>
    </x:row>
    <x:row r="37">
      <x:c r="A37" s="40" t="inlineStr">
        <x:is>
          <x:t xml:space="preserve">Q036</x:t>
        </x:is>
      </x:c>
      <x:c r="B37" s="41" t="inlineStr">
        <x:is>
          <x:t xml:space="preserve">任务完成了奖励没发</x:t>
        </x:is>
      </x:c>
      <x:c r="C37" s="41" t="inlineStr">
        <x:is>
          <x:t xml:space="preserve">ID</x:t>
        </x:is>
      </x:c>
      <x:c r="D37" s="41" t="inlineStr">
        <x:is>
          <x:t xml:space="preserve">zh-CN</x:t>
        </x:is>
      </x:c>
      <x:c r="E37" s="42" t="inlineStr">
        <x:is>
          <x:t xml:space="preserve">ACT-02</x:t>
        </x:is>
      </x:c>
      <x:c r="F37" s="42" t="inlineStr">
        <x:is>
          <x:t xml:space="preserve">活动奖励未到账</x:t>
        </x:is>
      </x:c>
      <x:c r="G37" s="42" t="inlineStr">
        <x:is>
          <x:t xml:space="preserve">异常诊断</x:t>
        </x:is>
      </x:c>
      <x:c r="H37" s="42" t="inlineStr">
        <x:is>
          <x:t xml:space="preserve">任务与奖励发放</x:t>
        </x:is>
      </x:c>
    </x:row>
    <x:row r="38">
      <x:c r="A38" s="40" t="inlineStr">
        <x:is>
          <x:t xml:space="preserve">Q037</x:t>
        </x:is>
      </x:c>
      <x:c r="B38" s="41" t="inlineStr">
        <x:is>
          <x:t xml:space="preserve">签到还差几天</x:t>
        </x:is>
      </x:c>
      <x:c r="C38" s="41" t="inlineStr">
        <x:is>
          <x:t xml:space="preserve">VN</x:t>
        </x:is>
      </x:c>
      <x:c r="D38" s="41" t="inlineStr">
        <x:is>
          <x:t xml:space="preserve">zh-CN</x:t>
        </x:is>
      </x:c>
      <x:c r="E38" s="42" t="inlineStr">
        <x:is>
          <x:t xml:space="preserve">ACT-03</x:t>
        </x:is>
      </x:c>
      <x:c r="F38" s="42" t="inlineStr">
        <x:is>
          <x:t xml:space="preserve">会员任务进度</x:t>
        </x:is>
      </x:c>
      <x:c r="G38" s="42" t="inlineStr">
        <x:is>
          <x:t xml:space="preserve">资产查询</x:t>
        </x:is>
      </x:c>
      <x:c r="H38" s="42" t="inlineStr">
        <x:is>
          <x:t xml:space="preserve">活动任务状态</x:t>
        </x:is>
      </x:c>
    </x:row>
    <x:row r="39">
      <x:c r="A39" s="40" t="inlineStr">
        <x:is>
          <x:t xml:space="preserve">Q038</x:t>
        </x:is>
      </x:c>
      <x:c r="B39" s="41" t="inlineStr">
        <x:is>
          <x:t xml:space="preserve">为什么泰国有这个活动我们没有</x:t>
        </x:is>
      </x:c>
      <x:c r="C39" s="41" t="inlineStr">
        <x:is>
          <x:t xml:space="preserve">MY</x:t>
        </x:is>
      </x:c>
      <x:c r="D39" s="41" t="inlineStr">
        <x:is>
          <x:t xml:space="preserve">zh-CN</x:t>
        </x:is>
      </x:c>
      <x:c r="E39" s="42" t="inlineStr">
        <x:is>
          <x:t xml:space="preserve">ACT-04</x:t>
        </x:is>
      </x:c>
      <x:c r="F39" s="42" t="inlineStr">
        <x:is>
          <x:t xml:space="preserve">国家/渠道活动规则</x:t>
        </x:is>
      </x:c>
      <x:c r="G39" s="42" t="inlineStr">
        <x:is>
          <x:t xml:space="preserve">规则解释</x:t>
        </x:is>
      </x:c>
      <x:c r="H39" s="42" t="inlineStr">
        <x:is>
          <x:t xml:space="preserve">国家活动差异</x:t>
        </x:is>
      </x:c>
    </x:row>
    <x:row r="40">
      <x:c r="A40" s="40" t="inlineStr">
        <x:is>
          <x:t xml:space="preserve">Q039</x:t>
        </x:is>
      </x:c>
      <x:c r="B40" s="41" t="inlineStr">
        <x:is>
          <x:t xml:space="preserve">附近有门店吗</x:t>
        </x:is>
      </x:c>
      <x:c r="C40" s="41" t="inlineStr">
        <x:is>
          <x:t xml:space="preserve">SG</x:t>
        </x:is>
      </x:c>
      <x:c r="D40" s="41" t="inlineStr">
        <x:is>
          <x:t xml:space="preserve">zh-CN</x:t>
        </x:is>
      </x:c>
      <x:c r="E40" s="42" t="inlineStr">
        <x:is>
          <x:t xml:space="preserve">CHN-01</x:t>
        </x:is>
      </x:c>
      <x:c r="F40" s="42" t="inlineStr">
        <x:is>
          <x:t xml:space="preserve">附近门店查询</x:t>
        </x:is>
      </x:c>
      <x:c r="G40" s="42" t="inlineStr">
        <x:is>
          <x:t xml:space="preserve">信息查询</x:t>
        </x:is>
      </x:c>
      <x:c r="H40" s="42" t="inlineStr">
        <x:is>
          <x:t xml:space="preserve">需要城市/定位</x:t>
        </x:is>
      </x:c>
    </x:row>
    <x:row r="41">
      <x:c r="A41" s="40" t="inlineStr">
        <x:is>
          <x:t xml:space="preserve">Q040</x:t>
        </x:is>
      </x:c>
      <x:c r="B41" s="41" t="inlineStr">
        <x:is>
          <x:t xml:space="preserve">Where is the nearest OH!SOME store?</x:t>
        </x:is>
      </x:c>
      <x:c r="C41" s="41" t="inlineStr">
        <x:is>
          <x:t xml:space="preserve">MY</x:t>
        </x:is>
      </x:c>
      <x:c r="D41" s="41" t="inlineStr">
        <x:is>
          <x:t xml:space="preserve">en</x:t>
        </x:is>
      </x:c>
      <x:c r="E41" s="42" t="inlineStr">
        <x:is>
          <x:t xml:space="preserve">CHN-01</x:t>
        </x:is>
      </x:c>
      <x:c r="F41" s="42" t="inlineStr">
        <x:is>
          <x:t xml:space="preserve">附近门店查询</x:t>
        </x:is>
      </x:c>
      <x:c r="G41" s="42" t="inlineStr">
        <x:is>
          <x:t xml:space="preserve">信息查询</x:t>
        </x:is>
      </x:c>
      <x:c r="H41" s="42" t="inlineStr">
        <x:is>
          <x:t xml:space="preserve">英文门店查询</x:t>
        </x:is>
      </x:c>
    </x:row>
    <x:row r="42">
      <x:c r="A42" s="40" t="inlineStr">
        <x:is>
          <x:t xml:space="preserve">Q041</x:t>
        </x:is>
      </x:c>
      <x:c r="B42" s="41" t="inlineStr">
        <x:is>
          <x:t xml:space="preserve">这个免费体验权益哪些店能用</x:t>
        </x:is>
      </x:c>
      <x:c r="C42" s="41" t="inlineStr">
        <x:is>
          <x:t xml:space="preserve">SG</x:t>
        </x:is>
      </x:c>
      <x:c r="D42" s="41" t="inlineStr">
        <x:is>
          <x:t xml:space="preserve">zh-CN</x:t>
        </x:is>
      </x:c>
      <x:c r="E42" s="42" t="inlineStr">
        <x:is>
          <x:t xml:space="preserve">CHN-02</x:t>
        </x:is>
      </x:c>
      <x:c r="F42" s="42" t="inlineStr">
        <x:is>
          <x:t xml:space="preserve">权益适用门店查询</x:t>
        </x:is>
      </x:c>
      <x:c r="G42" s="42" t="inlineStr">
        <x:is>
          <x:t xml:space="preserve">规则解释/查询</x:t>
        </x:is>
      </x:c>
      <x:c r="H42" s="42" t="inlineStr">
        <x:is>
          <x:t xml:space="preserve">权益与门店范围</x:t>
        </x:is>
      </x:c>
    </x:row>
    <x:row r="43">
      <x:c r="A43" s="40" t="inlineStr">
        <x:is>
          <x:t xml:space="preserve">Q042</x:t>
        </x:is>
      </x:c>
      <x:c r="B43" s="41" t="inlineStr">
        <x:is>
          <x:t xml:space="preserve">门店说我500分，App只有300</x:t>
        </x:is>
      </x:c>
      <x:c r="C43" s="41" t="inlineStr">
        <x:is>
          <x:t xml:space="preserve">SG</x:t>
        </x:is>
      </x:c>
      <x:c r="D43" s="41" t="inlineStr">
        <x:is>
          <x:t xml:space="preserve">zh-CN</x:t>
        </x:is>
      </x:c>
      <x:c r="E43" s="42" t="inlineStr">
        <x:is>
          <x:t xml:space="preserve">CHN-03</x:t>
        </x:is>
      </x:c>
      <x:c r="F43" s="42" t="inlineStr">
        <x:is>
          <x:t xml:space="preserve">线上线下会员数据不同步</x:t>
        </x:is>
      </x:c>
      <x:c r="G43" s="42" t="inlineStr">
        <x:is>
          <x:t xml:space="preserve">异常诊断</x:t>
        </x:is>
      </x:c>
      <x:c r="H43" s="42" t="inlineStr">
        <x:is>
          <x:t xml:space="preserve">数据一致性故障</x:t>
        </x:is>
      </x:c>
    </x:row>
    <x:row r="44">
      <x:c r="A44" s="40" t="inlineStr">
        <x:is>
          <x:t xml:space="preserve">Q043</x:t>
        </x:is>
      </x:c>
      <x:c r="B44" s="41" t="inlineStr">
        <x:is>
          <x:t xml:space="preserve">新加坡会员去马来西亚可以用积分吗</x:t>
        </x:is>
      </x:c>
      <x:c r="C44" s="41" t="inlineStr">
        <x:is>
          <x:t xml:space="preserve">SG</x:t>
        </x:is>
      </x:c>
      <x:c r="D44" s="41" t="inlineStr">
        <x:is>
          <x:t xml:space="preserve">zh-CN</x:t>
        </x:is>
      </x:c>
      <x:c r="E44" s="42" t="inlineStr">
        <x:is>
          <x:t xml:space="preserve">CHN-04</x:t>
        </x:is>
      </x:c>
      <x:c r="F44" s="42" t="inlineStr">
        <x:is>
          <x:t xml:space="preserve">跨国家会员是否互通</x:t>
        </x:is>
      </x:c>
      <x:c r="G44" s="42" t="inlineStr">
        <x:is>
          <x:t xml:space="preserve">规则解释</x:t>
        </x:is>
      </x:c>
      <x:c r="H44" s="42" t="inlineStr">
        <x:is>
          <x:t xml:space="preserve">跨国边界</x:t>
        </x:is>
      </x:c>
    </x:row>
    <x:row r="45">
      <x:c r="A45" s="40" t="inlineStr">
        <x:is>
          <x:t xml:space="preserve">Q044</x:t>
        </x:is>
      </x:c>
      <x:c r="B45" s="41" t="inlineStr">
        <x:is>
          <x:t xml:space="preserve">My coupon was used by someone else</x:t>
        </x:is>
      </x:c>
      <x:c r="C45" s="41" t="inlineStr">
        <x:is>
          <x:t xml:space="preserve">SG</x:t>
        </x:is>
      </x:c>
      <x:c r="D45" s="41" t="inlineStr">
        <x:is>
          <x:t xml:space="preserve">en</x:t>
        </x:is>
      </x:c>
      <x:c r="E45" s="42" t="inlineStr">
        <x:is>
          <x:t xml:space="preserve">RISK-01</x:t>
        </x:is>
      </x:c>
      <x:c r="F45" s="42" t="inlineStr">
        <x:is>
          <x:t xml:space="preserve">疑似账户资产被盗用</x:t>
        </x:is>
      </x:c>
      <x:c r="G45" s="42" t="inlineStr">
        <x:is>
          <x:t xml:space="preserve">高风险投诉</x:t>
        </x:is>
      </x:c>
      <x:c r="H45" s="42" t="inlineStr">
        <x:is>
          <x:t xml:space="preserve">需要转人工与风控</x:t>
        </x:is>
      </x:c>
    </x:row>
    <x:row r="46">
      <x:c r="A46" s="40" t="inlineStr">
        <x:is>
          <x:t xml:space="preserve">Q045</x:t>
        </x:is>
      </x:c>
      <x:c r="B46" s="41" t="inlineStr">
        <x:is>
          <x:t xml:space="preserve">你们怎么知道我买过什么</x:t>
        </x:is>
      </x:c>
      <x:c r="C46" s="41" t="inlineStr">
        <x:is>
          <x:t xml:space="preserve">MY</x:t>
        </x:is>
      </x:c>
      <x:c r="D46" s="41" t="inlineStr">
        <x:is>
          <x:t xml:space="preserve">zh-CN</x:t>
        </x:is>
      </x:c>
      <x:c r="E46" s="42" t="inlineStr">
        <x:is>
          <x:t xml:space="preserve">RISK-02</x:t>
        </x:is>
      </x:c>
      <x:c r="F46" s="42" t="inlineStr">
        <x:is>
          <x:t xml:space="preserve">隐私/数据访问质疑</x:t>
        </x:is>
      </x:c>
      <x:c r="G46" s="42" t="inlineStr">
        <x:is>
          <x:t xml:space="preserve">高风险咨询</x:t>
        </x:is>
      </x:c>
      <x:c r="H46" s="42" t="inlineStr">
        <x:is>
          <x:t xml:space="preserve">隐私解释与正式渠道</x:t>
        </x:is>
      </x:c>
    </x:row>
    <x:row r="47">
      <x:c r="A47" s="40" t="inlineStr">
        <x:is>
          <x:t xml:space="preserve">Q046</x:t>
        </x:is>
      </x:c>
      <x:c r="B47" s="41" t="inlineStr">
        <x:is>
          <x:t xml:space="preserve">我要投诉你们并赔偿</x:t>
        </x:is>
      </x:c>
      <x:c r="C47" s="41" t="inlineStr">
        <x:is>
          <x:t xml:space="preserve">SG</x:t>
        </x:is>
      </x:c>
      <x:c r="D47" s="41" t="inlineStr">
        <x:is>
          <x:t xml:space="preserve">zh-CN</x:t>
        </x:is>
      </x:c>
      <x:c r="E47" s="42" t="inlineStr">
        <x:is>
          <x:t xml:space="preserve">RISK-03</x:t>
        </x:is>
      </x:c>
      <x:c r="F47" s="42" t="inlineStr">
        <x:is>
          <x:t xml:space="preserve">投诉与赔偿诉求</x:t>
        </x:is>
      </x:c>
      <x:c r="G47" s="42" t="inlineStr">
        <x:is>
          <x:t xml:space="preserve">人工处理</x:t>
        </x:is>
      </x:c>
      <x:c r="H47" s="42" t="inlineStr">
        <x:is>
          <x:t xml:space="preserve">AI不判责不赔偿</x:t>
        </x:is>
      </x:c>
    </x:row>
    <x:row r="48">
      <x:c r="A48" s="40" t="inlineStr">
        <x:is>
          <x:t xml:space="preserve">Q047</x:t>
        </x:is>
      </x:c>
      <x:c r="B48" s="41" t="inlineStr">
        <x:is>
          <x:t xml:space="preserve">退款两周了还没到账</x:t>
        </x:is>
      </x:c>
      <x:c r="C48" s="41" t="inlineStr">
        <x:is>
          <x:t xml:space="preserve">TH</x:t>
        </x:is>
      </x:c>
      <x:c r="D48" s="41" t="inlineStr">
        <x:is>
          <x:t xml:space="preserve">zh-CN</x:t>
        </x:is>
      </x:c>
      <x:c r="E48" s="42" t="inlineStr">
        <x:is>
          <x:t xml:space="preserve">RISK-04</x:t>
        </x:is>
      </x:c>
      <x:c r="F48" s="42" t="inlineStr">
        <x:is>
          <x:t xml:space="preserve">支付/退款争议</x:t>
        </x:is>
      </x:c>
      <x:c r="G48" s="42" t="inlineStr">
        <x:is>
          <x:t xml:space="preserve">人工处理</x:t>
        </x:is>
      </x:c>
      <x:c r="H48" s="42" t="inlineStr">
        <x:is>
          <x:t xml:space="preserve">支付/售后流程</x:t>
        </x:is>
      </x:c>
    </x:row>
    <x:row r="49">
      <x:c r="A49" s="40" t="inlineStr">
        <x:is>
          <x:t xml:space="preserve">Q048</x:t>
        </x:is>
      </x:c>
      <x:c r="B49" s="41" t="inlineStr">
        <x:is>
          <x:t xml:space="preserve">马上给我转人工</x:t>
        </x:is>
      </x:c>
      <x:c r="C49" s="41" t="inlineStr">
        <x:is>
          <x:t xml:space="preserve">SG</x:t>
        </x:is>
      </x:c>
      <x:c r="D49" s="41" t="inlineStr">
        <x:is>
          <x:t xml:space="preserve">zh-CN</x:t>
        </x:is>
      </x:c>
      <x:c r="E49" s="42" t="inlineStr">
        <x:is>
          <x:t xml:space="preserve">RISK-05</x:t>
        </x:is>
      </x:c>
      <x:c r="F49" s="42" t="inlineStr">
        <x:is>
          <x:t xml:space="preserve">用户主动要求人工</x:t>
        </x:is>
      </x:c>
      <x:c r="G49" s="42" t="inlineStr">
        <x:is>
          <x:t xml:space="preserve">人工转接</x:t>
        </x:is>
      </x:c>
      <x:c r="H49" s="42" t="inlineStr">
        <x:is>
          <x:t xml:space="preserve">立即转人工</x:t>
        </x:is>
      </x:c>
    </x:row>
    <x:row r="50">
      <x:c r="A50" s="40" t="inlineStr">
        <x:is>
          <x:t xml:space="preserve">Q049</x:t>
        </x:is>
      </x:c>
      <x:c r="B50" s="41" t="inlineStr">
        <x:is>
          <x:t xml:space="preserve">我在门店注册过为什么App查不到</x:t>
        </x:is>
      </x:c>
      <x:c r="C50" s="41" t="inlineStr">
        <x:is>
          <x:t xml:space="preserve">VN</x:t>
        </x:is>
      </x:c>
      <x:c r="D50" s="41" t="inlineStr">
        <x:is>
          <x:t xml:space="preserve">zh-CN</x:t>
        </x:is>
      </x:c>
      <x:c r="E50" s="42" t="inlineStr">
        <x:is>
          <x:t xml:space="preserve">ACC-03</x:t>
        </x:is>
      </x:c>
      <x:c r="F50" s="42" t="inlineStr">
        <x:is>
          <x:t xml:space="preserve">线上线下会员未同步</x:t>
        </x:is>
      </x:c>
      <x:c r="G50" s="42" t="inlineStr">
        <x:is>
          <x:t xml:space="preserve">异常诊断</x:t>
        </x:is>
      </x:c>
      <x:c r="H50" s="42" t="inlineStr">
        <x:is>
          <x:t xml:space="preserve">One ID与同步状态</x:t>
        </x:is>
      </x:c>
    </x:row>
    <x:row r="51">
      <x:c r="A51" s="40" t="inlineStr">
        <x:is>
          <x:t xml:space="preserve">Q050</x:t>
        </x:is>
      </x:c>
      <x:c r="B51" s="41" t="inlineStr">
        <x:is>
          <x:t xml:space="preserve">两个手机号都是我的能合并吗</x:t>
        </x:is>
      </x:c>
      <x:c r="C51" s="41" t="inlineStr">
        <x:is>
          <x:t xml:space="preserve">SG</x:t>
        </x:is>
      </x:c>
      <x:c r="D51" s="41" t="inlineStr">
        <x:is>
          <x:t xml:space="preserve">zh-CN</x:t>
        </x:is>
      </x:c>
      <x:c r="E51" s="42" t="inlineStr">
        <x:is>
          <x:t xml:space="preserve">ACC-04</x:t>
        </x:is>
      </x:c>
      <x:c r="F51" s="42" t="inlineStr">
        <x:is>
          <x:t xml:space="preserve">重复账号/账号合并</x:t>
        </x:is>
      </x:c>
      <x:c r="G51" s="42" t="inlineStr">
        <x:is>
          <x:t xml:space="preserve">人工处理</x:t>
        </x:is>
      </x:c>
      <x:c r="H51" s="42" t="inlineStr">
        <x:is>
          <x:t xml:space="preserve">涉及资产迁移</x:t>
        </x:is>
      </x:c>
    </x:row>
    <x:row r="52">
      <x:c r="A52" s="40" t="inlineStr">
        <x:is>
          <x:t xml:space="preserve">Q051</x:t>
        </x:is>
      </x:c>
      <x:c r="B52" s="41" t="inlineStr">
        <x:is>
          <x:t xml:space="preserve">我要删掉我的全部资料</x:t>
        </x:is>
      </x:c>
      <x:c r="C52" s="41" t="inlineStr">
        <x:is>
          <x:t xml:space="preserve">MY</x:t>
        </x:is>
      </x:c>
      <x:c r="D52" s="41" t="inlineStr">
        <x:is>
          <x:t xml:space="preserve">zh-CN</x:t>
        </x:is>
      </x:c>
      <x:c r="E52" s="42" t="inlineStr">
        <x:is>
          <x:t xml:space="preserve">ACC-05</x:t>
        </x:is>
      </x:c>
      <x:c r="F52" s="42" t="inlineStr">
        <x:is>
          <x:t xml:space="preserve">注销账号/隐私请求</x:t>
        </x:is>
      </x:c>
      <x:c r="G52" s="42" t="inlineStr">
        <x:is>
          <x:t xml:space="preserve">人工处理</x:t>
        </x:is>
      </x:c>
      <x:c r="H52" s="42" t="inlineStr">
        <x:is>
          <x:t xml:space="preserve">正式隐私流程</x:t>
        </x:is>
      </x:c>
    </x:row>
    <x:row r="53">
      <x:c r="A53" s="40" t="inlineStr">
        <x:is>
          <x:t xml:space="preserve">Q052</x:t>
        </x:is>
      </x:c>
      <x:c r="B53" s="41" t="inlineStr">
        <x:is>
          <x:t xml:space="preserve">为什么收不到登录短信</x:t>
        </x:is>
      </x:c>
      <x:c r="C53" s="41" t="inlineStr">
        <x:is>
          <x:t xml:space="preserve">ID</x:t>
        </x:is>
      </x:c>
      <x:c r="D53" s="41" t="inlineStr">
        <x:is>
          <x:t xml:space="preserve">zh-CN</x:t>
        </x:is>
      </x:c>
      <x:c r="E53" s="42" t="inlineStr">
        <x:is>
          <x:t xml:space="preserve">ACC-02</x:t>
        </x:is>
      </x:c>
      <x:c r="F53" s="42" t="inlineStr">
        <x:is>
          <x:t xml:space="preserve">登录失败/验证码问题</x:t>
        </x:is>
      </x:c>
      <x:c r="G53" s="42" t="inlineStr">
        <x:is>
          <x:t xml:space="preserve">异常诊断</x:t>
        </x:is>
      </x:c>
      <x:c r="H53" s="42" t="inlineStr">
        <x:is>
          <x:t xml:space="preserve">验证码状态和风控</x:t>
        </x:is>
      </x:c>
    </x:row>
    <x:row r="54">
      <x:c r="A54" s="40" t="inlineStr">
        <x:is>
          <x:t xml:space="preserve">Q053</x:t>
        </x:is>
      </x:c>
      <x:c r="B54" s="41" t="inlineStr">
        <x:is>
          <x:t xml:space="preserve">积分能直接当钱花吗</x:t>
        </x:is>
      </x:c>
      <x:c r="C54" s="41" t="inlineStr">
        <x:is>
          <x:t xml:space="preserve">SG</x:t>
        </x:is>
      </x:c>
      <x:c r="D54" s="41" t="inlineStr">
        <x:is>
          <x:t xml:space="preserve">zh-CN</x:t>
        </x:is>
      </x:c>
      <x:c r="E54" s="42" t="inlineStr">
        <x:is>
          <x:t xml:space="preserve">PTS-09</x:t>
        </x:is>
      </x:c>
      <x:c r="F54" s="42" t="inlineStr">
        <x:is>
          <x:t xml:space="preserve">积分兑换/抵扣规则</x:t>
        </x:is>
      </x:c>
      <x:c r="G54" s="42" t="inlineStr">
        <x:is>
          <x:t xml:space="preserve">规则解释</x:t>
        </x:is>
      </x:c>
      <x:c r="H54" s="42" t="inlineStr">
        <x:is>
          <x:t xml:space="preserve">兑换规则</x:t>
        </x:is>
      </x:c>
    </x:row>
    <x:row r="55">
      <x:c r="A55" s="40" t="inlineStr">
        <x:is>
          <x:t xml:space="preserve">Q054</x:t>
        </x:is>
      </x:c>
      <x:c r="B55" s="41" t="inlineStr">
        <x:is>
          <x:t xml:space="preserve">这张券能在哪几家店用</x:t>
        </x:is>
      </x:c>
      <x:c r="C55" s="41" t="inlineStr">
        <x:is>
          <x:t xml:space="preserve">MY</x:t>
        </x:is>
      </x:c>
      <x:c r="D55" s="41" t="inlineStr">
        <x:is>
          <x:t xml:space="preserve">zh-CN</x:t>
        </x:is>
      </x:c>
      <x:c r="E55" s="42" t="inlineStr">
        <x:is>
          <x:t xml:space="preserve">CPN-03</x:t>
        </x:is>
      </x:c>
      <x:c r="F55" s="42" t="inlineStr">
        <x:is>
          <x:t xml:space="preserve">适用门店/渠道查询</x:t>
        </x:is>
      </x:c>
      <x:c r="G55" s="42" t="inlineStr">
        <x:is>
          <x:t xml:space="preserve">规则解释/资产</x:t>
        </x:is>
      </x:c>
      <x:c r="H55" s="42" t="inlineStr">
        <x:is>
          <x:t xml:space="preserve">具体券适用范围</x:t>
        </x:is>
      </x:c>
    </x:row>
    <x:row r="56">
      <x:c r="A56" s="40" t="inlineStr">
        <x:is>
          <x:t xml:space="preserve">Q055</x:t>
        </x:is>
      </x:c>
      <x:c r="B56" s="41" t="inlineStr">
        <x:is>
          <x:t xml:space="preserve">会员有效期到什么时候</x:t>
        </x:is>
      </x:c>
      <x:c r="C56" s="41" t="inlineStr">
        <x:is>
          <x:t xml:space="preserve">SG</x:t>
        </x:is>
      </x:c>
      <x:c r="D56" s="41" t="inlineStr">
        <x:is>
          <x:t xml:space="preserve">zh-CN</x:t>
        </x:is>
      </x:c>
      <x:c r="E56" s="42" t="inlineStr">
        <x:is>
          <x:t xml:space="preserve">LVL-06</x:t>
        </x:is>
      </x:c>
      <x:c r="F56" s="42" t="inlineStr">
        <x:is>
          <x:t xml:space="preserve">付费会员购买/续费</x:t>
        </x:is>
      </x:c>
      <x:c r="G56" s="42" t="inlineStr">
        <x:is>
          <x:t xml:space="preserve">资产查询/规则</x:t>
        </x:is>
      </x:c>
      <x:c r="H56" s="42" t="inlineStr">
        <x:is>
          <x:t xml:space="preserve">需区分付费会员和成长等级</x:t>
        </x:is>
      </x:c>
    </x:row>
    <x:row r="57">
      <x:c r="A57" s="40" t="inlineStr">
        <x:is>
          <x:t xml:space="preserve">Q056</x:t>
        </x:is>
      </x:c>
      <x:c r="B57" s="41" t="inlineStr">
        <x:is>
          <x:t xml:space="preserve">我这个月生日但没收到礼</x:t>
        </x:is>
      </x:c>
      <x:c r="C57" s="41" t="inlineStr">
        <x:is>
          <x:t xml:space="preserve">TH</x:t>
        </x:is>
      </x:c>
      <x:c r="D57" s="41" t="inlineStr">
        <x:is>
          <x:t xml:space="preserve">zh-CN</x:t>
        </x:is>
      </x:c>
      <x:c r="E57" s="42" t="inlineStr">
        <x:is>
          <x:t xml:space="preserve">BEN-03</x:t>
        </x:is>
      </x:c>
      <x:c r="F57" s="42" t="inlineStr">
        <x:is>
          <x:t xml:space="preserve">生日礼未发</x:t>
        </x:is>
      </x:c>
      <x:c r="G57" s="42" t="inlineStr">
        <x:is>
          <x:t xml:space="preserve">异常诊断</x:t>
        </x:is>
      </x:c>
      <x:c r="H57" s="42" t="inlineStr">
        <x:is>
          <x:t xml:space="preserve">生日月份+资格+发放记录</x:t>
        </x:is>
      </x:c>
    </x:row>
    <x:row r="58">
      <x:c r="A58" s="40" t="inlineStr">
        <x:is>
          <x:t xml:space="preserve">Q057</x:t>
        </x:is>
      </x:c>
      <x:c r="B58" s="41" t="inlineStr">
        <x:is>
          <x:t xml:space="preserve">活动奖励是积分还是券</x:t>
        </x:is>
      </x:c>
      <x:c r="C58" s="41" t="inlineStr">
        <x:is>
          <x:t xml:space="preserve">SG</x:t>
        </x:is>
      </x:c>
      <x:c r="D58" s="41" t="inlineStr">
        <x:is>
          <x:t xml:space="preserve">zh-CN</x:t>
        </x:is>
      </x:c>
      <x:c r="E58" s="42" t="inlineStr">
        <x:is>
          <x:t xml:space="preserve">ACT-01</x:t>
        </x:is>
      </x:c>
      <x:c r="F58" s="42" t="inlineStr">
        <x:is>
          <x:t xml:space="preserve">活动参与资格</x:t>
        </x:is>
      </x:c>
      <x:c r="G58" s="42" t="inlineStr">
        <x:is>
          <x:t xml:space="preserve">规则解释/异常</x:t>
        </x:is>
      </x:c>
      <x:c r="H58" s="42" t="inlineStr">
        <x:is>
          <x:t xml:space="preserve">需读取活动配置</x:t>
        </x:is>
      </x:c>
    </x:row>
    <x:row r="59">
      <x:c r="A59" s="40" t="inlineStr">
        <x:is>
          <x:t xml:space="preserve">Q058</x:t>
        </x:is>
      </x:c>
      <x:c r="B59" s="41" t="inlineStr">
        <x:is>
          <x:t xml:space="preserve">这项权益在电商能用吗</x:t>
        </x:is>
      </x:c>
      <x:c r="C59" s="41" t="inlineStr">
        <x:is>
          <x:t xml:space="preserve">MY</x:t>
        </x:is>
      </x:c>
      <x:c r="D59" s="41" t="inlineStr">
        <x:is>
          <x:t xml:space="preserve">zh-CN</x:t>
        </x:is>
      </x:c>
      <x:c r="E59" s="42" t="inlineStr">
        <x:is>
          <x:t xml:space="preserve">CHN-02</x:t>
        </x:is>
      </x:c>
      <x:c r="F59" s="42" t="inlineStr">
        <x:is>
          <x:t xml:space="preserve">权益适用门店查询</x:t>
        </x:is>
      </x:c>
      <x:c r="G59" s="42" t="inlineStr">
        <x:is>
          <x:t xml:space="preserve">规则解释/查询</x:t>
        </x:is>
      </x:c>
      <x:c r="H59" s="42" t="inlineStr">
        <x:is>
          <x:t xml:space="preserve">渠道范围</x:t>
        </x:is>
      </x:c>
    </x:row>
    <x:row r="60">
      <x:c r="A60" s="40" t="inlineStr">
        <x:is>
          <x:t xml:space="preserve">Q059</x:t>
        </x:is>
      </x:c>
      <x:c r="B60" s="41" t="inlineStr">
        <x:is>
          <x:t xml:space="preserve">我没授权你们查消费记录</x:t>
        </x:is>
      </x:c>
      <x:c r="C60" s="41" t="inlineStr">
        <x:is>
          <x:t xml:space="preserve">SG</x:t>
        </x:is>
      </x:c>
      <x:c r="D60" s="41" t="inlineStr">
        <x:is>
          <x:t xml:space="preserve">zh-CN</x:t>
        </x:is>
      </x:c>
      <x:c r="E60" s="42" t="inlineStr">
        <x:is>
          <x:t xml:space="preserve">RISK-02</x:t>
        </x:is>
      </x:c>
      <x:c r="F60" s="42" t="inlineStr">
        <x:is>
          <x:t xml:space="preserve">隐私/数据访问质疑</x:t>
        </x:is>
      </x:c>
      <x:c r="G60" s="42" t="inlineStr">
        <x:is>
          <x:t xml:space="preserve">高风险咨询</x:t>
        </x:is>
      </x:c>
      <x:c r="H60" s="42" t="inlineStr">
        <x:is>
          <x:t xml:space="preserve">隐私与授权</x:t>
        </x:is>
      </x:c>
    </x:row>
    <x:row r="61">
      <x:c r="A61" s="40" t="inlineStr">
        <x:is>
          <x:t xml:space="preserve">Q060</x:t>
        </x:is>
      </x:c>
      <x:c r="B61" s="41" t="inlineStr">
        <x:is>
          <x:t xml:space="preserve">别解释了，找真人客服</x:t>
        </x:is>
      </x:c>
      <x:c r="C61" s="41" t="inlineStr">
        <x:is>
          <x:t xml:space="preserve">SG</x:t>
        </x:is>
      </x:c>
      <x:c r="D61" s="41" t="inlineStr">
        <x:is>
          <x:t xml:space="preserve">zh-CN</x:t>
        </x:is>
      </x:c>
      <x:c r="E61" s="42" t="inlineStr">
        <x:is>
          <x:t xml:space="preserve">RISK-05</x:t>
        </x:is>
      </x:c>
      <x:c r="F61" s="42" t="inlineStr">
        <x:is>
          <x:t xml:space="preserve">用户主动要求人工</x:t>
        </x:is>
      </x:c>
      <x:c r="G61" s="42" t="inlineStr">
        <x:is>
          <x:t xml:space="preserve">人工转接</x:t>
        </x:is>
      </x:c>
      <x:c r="H61" s="42" t="inlineStr">
        <x:is>
          <x:t xml:space="preserve">明确转人工意愿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1" customWidth="1"/>
    <x:col min="3" max="3" width="16" customWidth="1"/>
    <x:col min="4" max="4" width="11" customWidth="1"/>
    <x:col min="5" max="5" width="11" customWidth="1"/>
    <x:col min="6" max="6" width="11" customWidth="1"/>
    <x:col min="7" max="7" width="16" customWidth="1"/>
    <x:col min="8" max="8" width="46" customWidth="1"/>
  </x:cols>
  <x:sheetData>
    <x:row r="1" ht="30" customHeight="1">
      <x:c r="A1" s="6" t="inlineStr">
        <x:is>
          <x:t xml:space="preserve">会员咨询场景地图与 MVP 分布</x:t>
        </x:is>
      </x:c>
    </x:row>
    <x:row r="3">
      <x:c r="A3" s="43" t="inlineStr">
        <x:is>
          <x:t xml:space="preserve">一级域</x:t>
        </x:is>
      </x:c>
      <x:c r="B3" s="43" t="inlineStr">
        <x:is>
          <x:t xml:space="preserve">场景数</x:t>
        </x:is>
      </x:c>
      <x:c r="C3" s="43" t="inlineStr">
        <x:is>
          <x:t xml:space="preserve">模拟月咨询量</x:t>
        </x:is>
      </x:c>
      <x:c r="D3" s="43" t="inlineStr">
        <x:is>
          <x:t xml:space="preserve">MVP P0</x:t>
        </x:is>
      </x:c>
      <x:c r="E3" s="43" t="inlineStr">
        <x:is>
          <x:t xml:space="preserve">MVP P1</x:t>
        </x:is>
      </x:c>
      <x:c r="F3" s="43" t="inlineStr">
        <x:is>
          <x:t xml:space="preserve">二期</x:t>
        </x:is>
      </x:c>
      <x:c r="G3" s="43" t="inlineStr">
        <x:is>
          <x:t xml:space="preserve">转人工/人工类</x:t>
        </x:is>
      </x:c>
      <x:c r="H3" s="43" t="inlineStr">
        <x:is>
          <x:t xml:space="preserve">主要设计重点</x:t>
        </x:is>
      </x:c>
    </x:row>
    <x:row r="4">
      <x:c r="A4" s="42" t="inlineStr">
        <x:is>
          <x:t xml:space="preserve">账号与身份</x:t>
        </x:is>
      </x:c>
      <x:c r="B4" s="44" t="n">
        <x:f>COUNTIF('场景总表'!$B$2:$B$51,A4)</x:f>
        <x:v>5</x:v>
      </x:c>
      <x:c r="C4" s="44" t="n">
        <x:f>SUMIF('场景总表'!$B$2:$B$51,A4,'场景总表'!$K$2:$K$51)</x:f>
        <x:v>1970</x:v>
      </x:c>
      <x:c r="D4" s="42" t="n">
        <x:f>COUNTIFS('场景总表'!$B$2:$B$51,A4,'场景总表'!$S$2:$S$51,"MVP P0")</x:f>
        <x:v>0</x:v>
      </x:c>
      <x:c r="E4" s="42" t="n">
        <x:f>COUNTIFS('场景总表'!$B$2:$B$51,A4,'场景总表'!$S$2:$S$51,"MVP P1")</x:f>
        <x:v>3</x:v>
      </x:c>
      <x:c r="F4" s="42" t="n">
        <x:f>COUNTIFS('场景总表'!$B$2:$B$51,A4,'场景总表'!$S$2:$S$51,"*二期*")</x:f>
        <x:v>0</x:v>
      </x:c>
      <x:c r="G4" s="42" t="n">
        <x:f>COUNTIFS('场景总表'!$B$2:$B$51,A4,'场景总表'!$S$2:$S$51,"*转人工*")</x:f>
        <x:v>0</x:v>
      </x:c>
      <x:c r="H4" s="42" t="inlineStr">
        <x:is>
          <x:t xml:space="preserve">身份标识、One ID、登录异常与隐私流程</x:t>
        </x:is>
      </x:c>
    </x:row>
    <x:row r="5">
      <x:c r="A5" s="42" t="inlineStr">
        <x:is>
          <x:t xml:space="preserve">积分</x:t>
        </x:is>
      </x:c>
      <x:c r="B5" s="44" t="n">
        <x:f>COUNTIF('场景总表'!$B$2:$B$51,A5)</x:f>
        <x:v>10</x:v>
      </x:c>
      <x:c r="C5" s="44" t="n">
        <x:f>SUMIF('场景总表'!$B$2:$B$51,A5,'场景总表'!$K$2:$K$51)</x:f>
        <x:v>9240</x:v>
      </x:c>
      <x:c r="D5" s="42" t="n">
        <x:f>COUNTIFS('场景总表'!$B$2:$B$51,A5,'场景总表'!$S$2:$S$51,"MVP P0")</x:f>
        <x:v>5</x:v>
      </x:c>
      <x:c r="E5" s="42" t="n">
        <x:f>COUNTIFS('场景总表'!$B$2:$B$51,A5,'场景总表'!$S$2:$S$51,"MVP P1")</x:f>
        <x:v>4</x:v>
      </x:c>
      <x:c r="F5" s="42" t="n">
        <x:f>COUNTIFS('场景总表'!$B$2:$B$51,A5,'场景总表'!$S$2:$S$51,"*二期*")</x:f>
        <x:v>0</x:v>
      </x:c>
      <x:c r="G5" s="42" t="n">
        <x:f>COUNTIFS('场景总表'!$B$2:$B$51,A5,'场景总表'!$S$2:$S$51,"*转人工*")</x:f>
        <x:v>0</x:v>
      </x:c>
      <x:c r="H5" s="42" t="inlineStr">
        <x:is>
          <x:t xml:space="preserve">资产查询、流水、规则与未到账诊断</x:t>
        </x:is>
      </x:c>
    </x:row>
    <x:row r="6">
      <x:c r="A6" s="42" t="inlineStr">
        <x:is>
          <x:t xml:space="preserve">优惠券</x:t>
        </x:is>
      </x:c>
      <x:c r="B6" s="44" t="n">
        <x:f>COUNTIF('场景总表'!$B$2:$B$51,A6)</x:f>
        <x:v>10</x:v>
      </x:c>
      <x:c r="C6" s="44" t="n">
        <x:f>SUMIF('场景总表'!$B$2:$B$51,A6,'场景总表'!$K$2:$K$51)</x:f>
        <x:v>9120</x:v>
      </x:c>
      <x:c r="D6" s="42" t="n">
        <x:f>COUNTIFS('场景总表'!$B$2:$B$51,A6,'场景总表'!$S$2:$S$51,"MVP P0")</x:f>
        <x:v>5</x:v>
      </x:c>
      <x:c r="E6" s="42" t="n">
        <x:f>COUNTIFS('场景总表'!$B$2:$B$51,A6,'场景总表'!$S$2:$S$51,"MVP P1")</x:f>
        <x:v>3</x:v>
      </x:c>
      <x:c r="F6" s="42" t="n">
        <x:f>COUNTIFS('场景总表'!$B$2:$B$51,A6,'场景总表'!$S$2:$S$51,"*二期*")</x:f>
        <x:v>0</x:v>
      </x:c>
      <x:c r="G6" s="42" t="n">
        <x:f>COUNTIFS('场景总表'!$B$2:$B$51,A6,'场景总表'!$S$2:$S$51,"*转人工*")</x:f>
        <x:v>0</x:v>
      </x:c>
      <x:c r="H6" s="42" t="inlineStr">
        <x:is>
          <x:t xml:space="preserve">券实例、适用范围、互斥和无法使用</x:t>
        </x:is>
      </x:c>
    </x:row>
    <x:row r="7">
      <x:c r="A7" s="42" t="inlineStr">
        <x:is>
          <x:t xml:space="preserve">等级与成长值</x:t>
        </x:is>
      </x:c>
      <x:c r="B7" s="44" t="n">
        <x:f>COUNTIF('场景总表'!$B$2:$B$51,A7)</x:f>
        <x:v>6</x:v>
      </x:c>
      <x:c r="C7" s="44" t="n">
        <x:f>SUMIF('场景总表'!$B$2:$B$51,A7,'场景总表'!$K$2:$K$51)</x:f>
        <x:v>3740</x:v>
      </x:c>
      <x:c r="D7" s="42" t="n">
        <x:f>COUNTIFS('场景总表'!$B$2:$B$51,A7,'场景总表'!$S$2:$S$51,"MVP P0")</x:f>
        <x:v>3</x:v>
      </x:c>
      <x:c r="E7" s="42" t="n">
        <x:f>COUNTIFS('场景总表'!$B$2:$B$51,A7,'场景总表'!$S$2:$S$51,"MVP P1")</x:f>
        <x:v>3</x:v>
      </x:c>
      <x:c r="F7" s="42" t="n">
        <x:f>COUNTIFS('场景总表'!$B$2:$B$51,A7,'场景总表'!$S$2:$S$51,"*二期*")</x:f>
        <x:v>0</x:v>
      </x:c>
      <x:c r="G7" s="42" t="n">
        <x:f>COUNTIFS('场景总表'!$B$2:$B$51,A7,'场景总表'!$S$2:$S$51,"*转人工*")</x:f>
        <x:v>0</x:v>
      </x:c>
      <x:c r="H7" s="42" t="inlineStr">
        <x:is>
          <x:t xml:space="preserve">等级状态、成长规则、升级/降级</x:t>
        </x:is>
      </x:c>
    </x:row>
    <x:row r="8">
      <x:c r="A8" s="42" t="inlineStr">
        <x:is>
          <x:t xml:space="preserve">会员权益</x:t>
        </x:is>
      </x:c>
      <x:c r="B8" s="44" t="n">
        <x:f>COUNTIF('场景总表'!$B$2:$B$51,A8)</x:f>
        <x:v>6</x:v>
      </x:c>
      <x:c r="C8" s="44" t="n">
        <x:f>SUMIF('场景总表'!$B$2:$B$51,A8,'场景总表'!$K$2:$K$51)</x:f>
        <x:v>4260</x:v>
      </x:c>
      <x:c r="D8" s="42" t="n">
        <x:f>COUNTIFS('场景总表'!$B$2:$B$51,A8,'场景总表'!$S$2:$S$51,"MVP P0")</x:f>
        <x:v>4</x:v>
      </x:c>
      <x:c r="E8" s="42" t="n">
        <x:f>COUNTIFS('场景总表'!$B$2:$B$51,A8,'场景总表'!$S$2:$S$51,"MVP P1")</x:f>
        <x:v>1</x:v>
      </x:c>
      <x:c r="F8" s="42" t="n">
        <x:f>COUNTIFS('场景总表'!$B$2:$B$51,A8,'场景总表'!$S$2:$S$51,"*二期*")</x:f>
        <x:v>0</x:v>
      </x:c>
      <x:c r="G8" s="42" t="n">
        <x:f>COUNTIFS('场景总表'!$B$2:$B$51,A8,'场景总表'!$S$2:$S$51,"*转人工*")</x:f>
        <x:v>0</x:v>
      </x:c>
      <x:c r="H8" s="42" t="inlineStr">
        <x:is>
          <x:t xml:space="preserve">应享权益、权益实例、生日礼与折扣</x:t>
        </x:is>
      </x:c>
    </x:row>
    <x:row r="9">
      <x:c r="A9" s="42" t="inlineStr">
        <x:is>
          <x:t xml:space="preserve">会员活动</x:t>
        </x:is>
      </x:c>
      <x:c r="B9" s="44" t="n">
        <x:f>COUNTIF('场景总表'!$B$2:$B$51,A9)</x:f>
        <x:v>4</x:v>
      </x:c>
      <x:c r="C9" s="44" t="n">
        <x:f>SUMIF('场景总表'!$B$2:$B$51,A9,'场景总表'!$K$2:$K$51)</x:f>
        <x:v>1680</x:v>
      </x:c>
      <x:c r="D9" s="42" t="n">
        <x:f>COUNTIFS('场景总表'!$B$2:$B$51,A9,'场景总表'!$S$2:$S$51,"MVP P0")</x:f>
        <x:v>0</x:v>
      </x:c>
      <x:c r="E9" s="42" t="n">
        <x:f>COUNTIFS('场景总表'!$B$2:$B$51,A9,'场景总表'!$S$2:$S$51,"MVP P1")</x:f>
        <x:v>3</x:v>
      </x:c>
      <x:c r="F9" s="42" t="n">
        <x:f>COUNTIFS('场景总表'!$B$2:$B$51,A9,'场景总表'!$S$2:$S$51,"*二期*")</x:f>
        <x:v>0</x:v>
      </x:c>
      <x:c r="G9" s="42" t="n">
        <x:f>COUNTIFS('场景总表'!$B$2:$B$51,A9,'场景总表'!$S$2:$S$51,"*转人工*")</x:f>
        <x:v>0</x:v>
      </x:c>
      <x:c r="H9" s="42" t="inlineStr">
        <x:is>
          <x:t xml:space="preserve">资格、任务进度和奖励发放</x:t>
        </x:is>
      </x:c>
    </x:row>
    <x:row r="10">
      <x:c r="A10" s="42" t="inlineStr">
        <x:is>
          <x:t xml:space="preserve">渠道与门店</x:t>
        </x:is>
      </x:c>
      <x:c r="B10" s="44" t="n">
        <x:f>COUNTIF('场景总表'!$B$2:$B$51,A10)</x:f>
        <x:v>4</x:v>
      </x:c>
      <x:c r="C10" s="44" t="n">
        <x:f>SUMIF('场景总表'!$B$2:$B$51,A10,'场景总表'!$K$2:$K$51)</x:f>
        <x:v>1850</x:v>
      </x:c>
      <x:c r="D10" s="42" t="n">
        <x:f>COUNTIFS('场景总表'!$B$2:$B$51,A10,'场景总表'!$S$2:$S$51,"MVP P0")</x:f>
        <x:v>0</x:v>
      </x:c>
      <x:c r="E10" s="42" t="n">
        <x:f>COUNTIFS('场景总表'!$B$2:$B$51,A10,'场景总表'!$S$2:$S$51,"MVP P1")</x:f>
        <x:v>3</x:v>
      </x:c>
      <x:c r="F10" s="42" t="n">
        <x:f>COUNTIFS('场景总表'!$B$2:$B$51,A10,'场景总表'!$S$2:$S$51,"*二期*")</x:f>
        <x:v>0</x:v>
      </x:c>
      <x:c r="G10" s="42" t="n">
        <x:f>COUNTIFS('场景总表'!$B$2:$B$51,A10,'场景总表'!$S$2:$S$51,"*转人工*")</x:f>
        <x:v>0</x:v>
      </x:c>
      <x:c r="H10" s="42" t="inlineStr">
        <x:is>
          <x:t xml:space="preserve">门店、线上线下同步和跨国边界</x:t>
        </x:is>
      </x:c>
    </x:row>
    <x:row r="11">
      <x:c r="A11" s="42" t="inlineStr">
        <x:is>
          <x:t xml:space="preserve">风险与投诉</x:t>
        </x:is>
      </x:c>
      <x:c r="B11" s="44" t="n">
        <x:f>COUNTIF('场景总表'!$B$2:$B$51,A11)</x:f>
        <x:v>5</x:v>
      </x:c>
      <x:c r="C11" s="44" t="n">
        <x:f>SUMIF('场景总表'!$B$2:$B$51,A11,'场景总表'!$K$2:$K$51)</x:f>
        <x:v>1495</x:v>
      </x:c>
      <x:c r="D11" s="42" t="n">
        <x:f>COUNTIFS('场景总表'!$B$2:$B$51,A11,'场景总表'!$S$2:$S$51,"MVP P0")</x:f>
        <x:v>1</x:v>
      </x:c>
      <x:c r="E11" s="42" t="n">
        <x:f>COUNTIFS('场景总表'!$B$2:$B$51,A11,'场景总表'!$S$2:$S$51,"MVP P1")</x:f>
        <x:v>0</x:v>
      </x:c>
      <x:c r="F11" s="42" t="n">
        <x:f>COUNTIFS('场景总表'!$B$2:$B$51,A11,'场景总表'!$S$2:$S$51,"*二期*")</x:f>
        <x:v>0</x:v>
      </x:c>
      <x:c r="G11" s="42" t="n">
        <x:f>COUNTIFS('场景总表'!$B$2:$B$51,A11,'场景总表'!$S$2:$S$51,"*转人工*")</x:f>
        <x:v>0</x:v>
      </x:c>
      <x:c r="H11" s="42" t="inlineStr">
        <x:is>
          <x:t xml:space="preserve">主动转人工、赔偿、隐私和资产争议</x:t>
        </x:is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f03d87c5b4a4f69"/>
</x:worksheet>
</file>