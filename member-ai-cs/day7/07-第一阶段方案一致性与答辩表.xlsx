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一致性检查" sheetId="2" state="visible" r:id="rId2"/>
    <sheet xmlns:r="http://schemas.openxmlformats.org/officeDocument/2006/relationships" name="完成度总览" sheetId="3" state="visible" r:id="rId3"/>
    <sheet xmlns:r="http://schemas.openxmlformats.org/officeDocument/2006/relationships" name="决策记录" sheetId="4" state="visible" r:id="rId4"/>
    <sheet xmlns:r="http://schemas.openxmlformats.org/officeDocument/2006/relationships" name="答辩题库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085"/>
      <sz val="10"/>
    </font>
    <font>
      <name val="Microsoft YaHei"/>
      <b val="1"/>
      <color rgb="00F97316"/>
    </font>
    <font>
      <name val="Microsoft YaHei"/>
      <b val="1"/>
      <color rgb="00FFFFFF"/>
      <sz val="10"/>
    </font>
    <font>
      <name val="Microsoft YaHei"/>
      <color rgb="00182033"/>
      <sz val="10"/>
    </font>
  </fonts>
  <fills count="5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2F4F7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thin">
        <color rgb="00E4E7EC"/>
      </bottom>
    </border>
    <border>
      <bottom style="hair">
        <color rgb="00E4E7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164" fontId="5" fillId="4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ECACA"/>
        </patternFill>
      </fill>
    </dxf>
    <dxf>
      <fill>
        <patternFill patternType="solid">
          <f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age1Checks" displayName="Stage1Checks" ref="A3:I31" headerRowCount="1">
  <autoFilter ref="A3:I31"/>
  <tableColumns count="9">
    <tableColumn id="1" name="检查ID"/>
    <tableColumn id="2" name="优先级"/>
    <tableColumn id="3" name="检查主题"/>
    <tableColumn id="4" name="检查问题"/>
    <tableColumn id="5" name="通过标准"/>
    <tableColumn id="6" name="状态"/>
    <tableColumn id="7" name="责任角色"/>
    <tableColumn id="8" name="证据/文件"/>
    <tableColumn id="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isionLog" displayName="DecisionLog" ref="A3:G11" headerRowCount="1">
  <autoFilter ref="A3:G11"/>
  <tableColumns count="7">
    <tableColumn id="1" name="决策ID"/>
    <tableColumn id="2" name="决策主题"/>
    <tableColumn id="3" name="推荐方案"/>
    <tableColumn id="4" name="理由"/>
    <tableColumn id="5" name="明确不做"/>
    <tableColumn id="6" name="责任角色"/>
    <tableColumn id="7" name="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enseQA" displayName="DefenseQA" ref="A3:G18" headerRowCount="1">
  <autoFilter ref="A3:G18"/>
  <tableColumns count="7">
    <tableColumn id="1" name="题号"/>
    <tableColumn id="2" name="维度"/>
    <tableColumn id="3" name="面试追问"/>
    <tableColumn id="4" name="回答必须覆盖"/>
    <tableColumn id="5" name="难度"/>
    <tableColumn id="6" name="我的回答"/>
    <tableColumn id="7" name="复盘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Day 7｜第一阶段方案一致性与答辩表</t>
        </is>
      </c>
    </row>
    <row r="2" ht="32" customHeight="1">
      <c r="A2" s="2" t="inlineStr">
        <is>
          <t>整合 Day 1—6：立项、场景、架构、意图、会话、身份权限。所有经营数据与时间线均为学习模拟值，不应当作真实上线事实。</t>
        </is>
      </c>
    </row>
    <row r="4" ht="32" customHeight="1">
      <c r="A4" s="3" t="inlineStr">
        <is>
          <t>用途</t>
        </is>
      </c>
      <c r="B4" s="4" t="inlineStr">
        <is>
          <t>检查第一阶段方案是否前后一致，并训练项目答辩。</t>
        </is>
      </c>
    </row>
    <row r="5" ht="32" customHeight="1">
      <c r="A5" s="3" t="inlineStr">
        <is>
          <t>事实边界</t>
        </is>
      </c>
      <c r="B5" s="4" t="inlineStr">
        <is>
          <t>真实：CRM/会员中台/App/H5/会员规则；模拟：AI客服建设过程、指标、排期与线上表现。</t>
        </is>
      </c>
    </row>
    <row r="6" ht="32" customHeight="1">
      <c r="A6" s="3" t="inlineStr">
        <is>
          <t>使用顺序</t>
        </is>
      </c>
      <c r="B6" s="4" t="inlineStr">
        <is>
          <t>先完成“一致性检查”，再填写“决策记录”，最后独立回答“答辩题库”。</t>
        </is>
      </c>
    </row>
    <row r="7" ht="32" customHeight="1">
      <c r="A7" s="3" t="inlineStr">
        <is>
          <t>通过标准</t>
        </is>
      </c>
      <c r="B7" s="4" t="inlineStr">
        <is>
          <t>P0检查项必须全部通过；总完成率建议≥90%；任何权限、资产事实、国家规则边界冲突必须先修正。</t>
        </is>
      </c>
    </row>
    <row r="8" ht="32" customHeight="1">
      <c r="A8" s="3" t="inlineStr">
        <is>
          <t>本阶段结论</t>
        </is>
      </c>
      <c r="B8" s="4" t="inlineStr">
        <is>
          <t>采用受控工作流优先：模型负责理解与表达，代码负责流程与校验，业务系统负责事实与授权。</t>
        </is>
      </c>
    </row>
    <row r="9" ht="32" customHeight="1">
      <c r="A9" s="3" t="inlineStr">
        <is>
          <t>下一阶段入口</t>
        </is>
      </c>
      <c r="B9" s="4" t="inlineStr">
        <is>
          <t>Day 8 Agent与Tool Calling；Day 9会员API工具设计。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44" customWidth="1" min="4" max="4"/>
    <col width="34" customWidth="1" min="5" max="5"/>
    <col width="13" customWidth="1" min="6" max="6"/>
    <col width="16" customWidth="1" min="7" max="7"/>
    <col width="32" customWidth="1" min="8" max="8"/>
    <col width="28" customWidth="1" min="9" max="9"/>
  </cols>
  <sheetData>
    <row r="1" ht="34" customHeight="1">
      <c r="A1" s="1" t="inlineStr">
        <is>
          <t>第一阶段方案一致性检查</t>
        </is>
      </c>
    </row>
    <row r="2" ht="32" customHeight="1">
      <c r="A2" s="2" t="inlineStr">
        <is>
          <t>填写状态：通过 / 待补充 / 不通过 / 不适用。P0项不允许以平均完成率掩盖。</t>
        </is>
      </c>
    </row>
    <row r="3" ht="30" customHeight="1">
      <c r="A3" s="5" t="inlineStr">
        <is>
          <t>检查ID</t>
        </is>
      </c>
      <c r="B3" s="5" t="inlineStr">
        <is>
          <t>优先级</t>
        </is>
      </c>
      <c r="C3" s="5" t="inlineStr">
        <is>
          <t>检查主题</t>
        </is>
      </c>
      <c r="D3" s="5" t="inlineStr">
        <is>
          <t>检查问题</t>
        </is>
      </c>
      <c r="E3" s="5" t="inlineStr">
        <is>
          <t>通过标准</t>
        </is>
      </c>
      <c r="F3" s="5" t="inlineStr">
        <is>
          <t>状态</t>
        </is>
      </c>
      <c r="G3" s="5" t="inlineStr">
        <is>
          <t>责任角色</t>
        </is>
      </c>
      <c r="H3" s="5" t="inlineStr">
        <is>
          <t>证据/文件</t>
        </is>
      </c>
      <c r="I3" s="5" t="inlineStr">
        <is>
          <t>备注</t>
        </is>
      </c>
    </row>
    <row r="4">
      <c r="A4" s="6" t="inlineStr">
        <is>
          <t>A01</t>
        </is>
      </c>
      <c r="B4" s="6" t="inlineStr">
        <is>
          <t>P0</t>
        </is>
      </c>
      <c r="C4" s="6" t="inlineStr">
        <is>
          <t>项目目标</t>
        </is>
      </c>
      <c r="D4" s="6" t="inlineStr">
        <is>
          <t>是否明确首期目标是降低重复咨询、补齐非工作时段、统一规则口径，而不是“做一个AI聊天框”？</t>
        </is>
      </c>
      <c r="E4" s="6" t="inlineStr">
        <is>
          <t>目标能落到场景、指标和边界</t>
        </is>
      </c>
      <c r="F4" s="6" t="inlineStr">
        <is>
          <t>待检查</t>
        </is>
      </c>
      <c r="G4" s="6" t="inlineStr">
        <is>
          <t>产品经理</t>
        </is>
      </c>
      <c r="H4" s="6" t="inlineStr"/>
      <c r="I4" s="6" t="n"/>
    </row>
    <row r="5">
      <c r="A5" s="7" t="inlineStr">
        <is>
          <t>A02</t>
        </is>
      </c>
      <c r="B5" s="7" t="inlineStr">
        <is>
          <t>P0</t>
        </is>
      </c>
      <c r="C5" s="7" t="inlineStr">
        <is>
          <t>事实边界</t>
        </is>
      </c>
      <c r="D5" s="7" t="inlineStr">
        <is>
          <t>是否将真实会员项目经验与模拟AI项目内容明确区分？</t>
        </is>
      </c>
      <c r="E5" s="7" t="inlineStr">
        <is>
          <t>所有模拟数字、排期和结果有标记</t>
        </is>
      </c>
      <c r="F5" s="7" t="inlineStr">
        <is>
          <t>待检查</t>
        </is>
      </c>
      <c r="G5" s="7" t="inlineStr">
        <is>
          <t>产品经理</t>
        </is>
      </c>
      <c r="H5" s="7" t="inlineStr"/>
      <c r="I5" s="7" t="n"/>
    </row>
    <row r="6">
      <c r="A6" s="6" t="inlineStr">
        <is>
          <t>A03</t>
        </is>
      </c>
      <c r="B6" s="6" t="inlineStr">
        <is>
          <t>P1</t>
        </is>
      </c>
      <c r="C6" s="6" t="inlineStr">
        <is>
          <t>用户范围</t>
        </is>
      </c>
      <c r="D6" s="6" t="inlineStr">
        <is>
          <t>是否明确首期服务对象、国家、入口和语言范围？</t>
        </is>
      </c>
      <c r="E6" s="6" t="inlineStr">
        <is>
          <t>可描述具体用户和入口</t>
        </is>
      </c>
      <c r="F6" s="6" t="inlineStr">
        <is>
          <t>待检查</t>
        </is>
      </c>
      <c r="G6" s="6" t="inlineStr">
        <is>
          <t>产品经理</t>
        </is>
      </c>
      <c r="H6" s="6" t="inlineStr"/>
      <c r="I6" s="6" t="n"/>
    </row>
    <row r="7">
      <c r="A7" s="7" t="inlineStr">
        <is>
          <t>A04</t>
        </is>
      </c>
      <c r="B7" s="7" t="inlineStr">
        <is>
          <t>P0</t>
        </is>
      </c>
      <c r="C7" s="7" t="inlineStr">
        <is>
          <t>场景范围</t>
        </is>
      </c>
      <c r="D7" s="7" t="inlineStr">
        <is>
          <t>50个场景是否均有产品阶段、路由、身份要求和失败处理？</t>
        </is>
      </c>
      <c r="E7" s="7" t="inlineStr">
        <is>
          <t>无孤立场景</t>
        </is>
      </c>
      <c r="F7" s="7" t="inlineStr">
        <is>
          <t>待检查</t>
        </is>
      </c>
      <c r="G7" s="7" t="inlineStr">
        <is>
          <t>产品经理</t>
        </is>
      </c>
      <c r="H7" s="7" t="inlineStr"/>
      <c r="I7" s="7" t="n"/>
    </row>
    <row r="8">
      <c r="A8" s="6" t="inlineStr">
        <is>
          <t>A05</t>
        </is>
      </c>
      <c r="B8" s="6" t="inlineStr">
        <is>
          <t>P0</t>
        </is>
      </c>
      <c r="C8" s="6" t="inlineStr">
        <is>
          <t>MVP边界</t>
        </is>
      </c>
      <c r="D8" s="6" t="inlineStr">
        <is>
          <t>是否排除自动补积分、补券、退款、账号合并、隐私删除等高风险写操作？</t>
        </is>
      </c>
      <c r="E8" s="6" t="inlineStr">
        <is>
          <t>写操作不进入Agent工具箱</t>
        </is>
      </c>
      <c r="F8" s="6" t="inlineStr">
        <is>
          <t>待检查</t>
        </is>
      </c>
      <c r="G8" s="6" t="inlineStr">
        <is>
          <t>产品/安全</t>
        </is>
      </c>
      <c r="H8" s="6" t="inlineStr"/>
      <c r="I8" s="6" t="n"/>
    </row>
    <row r="9">
      <c r="A9" s="7" t="inlineStr">
        <is>
          <t>A06</t>
        </is>
      </c>
      <c r="B9" s="7" t="inlineStr">
        <is>
          <t>P1</t>
        </is>
      </c>
      <c r="C9" s="7" t="inlineStr">
        <is>
          <t>优先级</t>
        </is>
      </c>
      <c r="D9" s="7" t="inlineStr">
        <is>
          <t>场景优先级是否同时考虑频次、价值、标准化、数据就绪和风险？</t>
        </is>
      </c>
      <c r="E9" s="7" t="inlineStr">
        <is>
          <t>不是单看咨询量</t>
        </is>
      </c>
      <c r="F9" s="7" t="inlineStr">
        <is>
          <t>待检查</t>
        </is>
      </c>
      <c r="G9" s="7" t="inlineStr">
        <is>
          <t>产品经理</t>
        </is>
      </c>
      <c r="H9" s="7" t="inlineStr"/>
      <c r="I9" s="7" t="n"/>
    </row>
    <row r="10">
      <c r="A10" s="6" t="inlineStr">
        <is>
          <t>A07</t>
        </is>
      </c>
      <c r="B10" s="6" t="inlineStr">
        <is>
          <t>P0</t>
        </is>
      </c>
      <c r="C10" s="6" t="inlineStr">
        <is>
          <t>总体架构</t>
        </is>
      </c>
      <c r="D10" s="6" t="inlineStr">
        <is>
          <t>入口、意图、编排、工具、RAG、护栏、人工是否责任清晰？</t>
        </is>
      </c>
      <c r="E10" s="6" t="inlineStr">
        <is>
          <t>每层有输入输出和边界</t>
        </is>
      </c>
      <c r="F10" s="6" t="inlineStr">
        <is>
          <t>待检查</t>
        </is>
      </c>
      <c r="G10" s="6" t="inlineStr">
        <is>
          <t>产品/技术</t>
        </is>
      </c>
      <c r="H10" s="6" t="inlineStr"/>
      <c r="I10" s="6" t="n"/>
    </row>
    <row r="11">
      <c r="A11" s="7" t="inlineStr">
        <is>
          <t>A08</t>
        </is>
      </c>
      <c r="B11" s="7" t="inlineStr">
        <is>
          <t>P0</t>
        </is>
      </c>
      <c r="C11" s="7" t="inlineStr">
        <is>
          <t>事实源</t>
        </is>
      </c>
      <c r="D11" s="7" t="inlineStr">
        <is>
          <t>个人资产是否只能来自本人授权API，规则是否只能来自有效知识？</t>
        </is>
      </c>
      <c r="E11" s="7" t="inlineStr">
        <is>
          <t>模型不得生成资产事实</t>
        </is>
      </c>
      <c r="F11" s="7" t="inlineStr">
        <is>
          <t>待检查</t>
        </is>
      </c>
      <c r="G11" s="7" t="inlineStr">
        <is>
          <t>产品/后端</t>
        </is>
      </c>
      <c r="H11" s="7" t="inlineStr"/>
      <c r="I11" s="7" t="n"/>
    </row>
    <row r="12">
      <c r="A12" s="6" t="inlineStr">
        <is>
          <t>A09</t>
        </is>
      </c>
      <c r="B12" s="6" t="inlineStr">
        <is>
          <t>P1</t>
        </is>
      </c>
      <c r="C12" s="6" t="inlineStr">
        <is>
          <t>路由模式</t>
        </is>
      </c>
      <c r="D12" s="6" t="inlineStr">
        <is>
          <t>API直查、RAG解释、混合、工作流诊断、人工优先是否有明确选择规则？</t>
        </is>
      </c>
      <c r="E12" s="6" t="inlineStr">
        <is>
          <t>场景路由可复现</t>
        </is>
      </c>
      <c r="F12" s="6" t="inlineStr">
        <is>
          <t>待检查</t>
        </is>
      </c>
      <c r="G12" s="6" t="inlineStr">
        <is>
          <t>产品/算法</t>
        </is>
      </c>
      <c r="H12" s="6" t="inlineStr"/>
      <c r="I12" s="6" t="n"/>
    </row>
    <row r="13">
      <c r="A13" s="7" t="inlineStr">
        <is>
          <t>A10</t>
        </is>
      </c>
      <c r="B13" s="7" t="inlineStr">
        <is>
          <t>P0</t>
        </is>
      </c>
      <c r="C13" s="7" t="inlineStr">
        <is>
          <t>意图结构</t>
        </is>
      </c>
      <c r="D13" s="7" t="inlineStr">
        <is>
          <t>是否采用业务域+服务动作+场景ID+槽位，而非单一大标签？</t>
        </is>
      </c>
      <c r="E13" s="7" t="inlineStr">
        <is>
          <t>输出可校验、可路由</t>
        </is>
      </c>
      <c r="F13" s="7" t="inlineStr">
        <is>
          <t>待检查</t>
        </is>
      </c>
      <c r="G13" s="7" t="inlineStr">
        <is>
          <t>产品/算法</t>
        </is>
      </c>
      <c r="H13" s="7" t="inlineStr"/>
      <c r="I13" s="7" t="n"/>
    </row>
    <row r="14">
      <c r="A14" s="6" t="inlineStr">
        <is>
          <t>A11</t>
        </is>
      </c>
      <c r="B14" s="6" t="inlineStr">
        <is>
          <t>P1</t>
        </is>
      </c>
      <c r="C14" s="6" t="inlineStr">
        <is>
          <t>置信度</t>
        </is>
      </c>
      <c r="D14" s="6" t="inlineStr">
        <is>
          <t>低置信度、Top1/Top2接近、多意图和高风险覆盖是否有处理规则？</t>
        </is>
      </c>
      <c r="E14" s="6" t="inlineStr">
        <is>
          <t>不能强行选意图</t>
        </is>
      </c>
      <c r="F14" s="6" t="inlineStr">
        <is>
          <t>待检查</t>
        </is>
      </c>
      <c r="G14" s="6" t="inlineStr">
        <is>
          <t>产品/算法</t>
        </is>
      </c>
      <c r="H14" s="6" t="inlineStr"/>
      <c r="I14" s="6" t="n"/>
    </row>
    <row r="15">
      <c r="A15" s="7" t="inlineStr">
        <is>
          <t>A12</t>
        </is>
      </c>
      <c r="B15" s="7" t="inlineStr">
        <is>
          <t>P1</t>
        </is>
      </c>
      <c r="C15" s="7" t="inlineStr">
        <is>
          <t>槽位来源</t>
        </is>
      </c>
      <c r="D15" s="7" t="inlineStr">
        <is>
          <t>每个关键槽位是否明确来自用户、登录上下文、API或知识库？</t>
        </is>
      </c>
      <c r="E15" s="7" t="inlineStr">
        <is>
          <t>敏感值不由模型记忆</t>
        </is>
      </c>
      <c r="F15" s="7" t="inlineStr">
        <is>
          <t>待检查</t>
        </is>
      </c>
      <c r="G15" s="7" t="inlineStr">
        <is>
          <t>产品/后端</t>
        </is>
      </c>
      <c r="H15" s="7" t="inlineStr"/>
      <c r="I15" s="7" t="n"/>
    </row>
    <row r="16">
      <c r="A16" s="6" t="inlineStr">
        <is>
          <t>A13</t>
        </is>
      </c>
      <c r="B16" s="6" t="inlineStr">
        <is>
          <t>P0</t>
        </is>
      </c>
      <c r="C16" s="6" t="inlineStr">
        <is>
          <t>会话状态</t>
        </is>
      </c>
      <c r="D16" s="6" t="inlineStr">
        <is>
          <t>多轮会话是否由状态机管理，而不是无限拼接历史消息？</t>
        </is>
      </c>
      <c r="E16" s="6" t="inlineStr">
        <is>
          <t>状态、对象、等待动作可追踪</t>
        </is>
      </c>
      <c r="F16" s="6" t="inlineStr">
        <is>
          <t>待检查</t>
        </is>
      </c>
      <c r="G16" s="6" t="inlineStr">
        <is>
          <t>产品/后端</t>
        </is>
      </c>
      <c r="H16" s="6" t="inlineStr"/>
      <c r="I16" s="6" t="n"/>
    </row>
    <row r="17">
      <c r="A17" s="7" t="inlineStr">
        <is>
          <t>A14</t>
        </is>
      </c>
      <c r="B17" s="7" t="inlineStr">
        <is>
          <t>P0</t>
        </is>
      </c>
      <c r="C17" s="7" t="inlineStr">
        <is>
          <t>上下文隔离</t>
        </is>
      </c>
      <c r="D17" s="7" t="inlineStr">
        <is>
          <t>账号切换、国家切换、订单/券对象切换时是否清理旧上下文？</t>
        </is>
      </c>
      <c r="E17" s="7" t="inlineStr">
        <is>
          <t>无串用户、串对象</t>
        </is>
      </c>
      <c r="F17" s="7" t="inlineStr">
        <is>
          <t>待检查</t>
        </is>
      </c>
      <c r="G17" s="7" t="inlineStr">
        <is>
          <t>产品/安全</t>
        </is>
      </c>
      <c r="H17" s="7" t="inlineStr"/>
      <c r="I17" s="7" t="n"/>
    </row>
    <row r="18">
      <c r="A18" s="6" t="inlineStr">
        <is>
          <t>A15</t>
        </is>
      </c>
      <c r="B18" s="6" t="inlineStr">
        <is>
          <t>P1</t>
        </is>
      </c>
      <c r="C18" s="6" t="inlineStr">
        <is>
          <t>失败恢复</t>
        </is>
      </c>
      <c r="D18" s="6" t="inlineStr">
        <is>
          <t>工具失败、知识无结果、用户不回复、重复失败是否有恢复和转人工路径？</t>
        </is>
      </c>
      <c r="E18" s="6" t="inlineStr">
        <is>
          <t>无无限循环</t>
        </is>
      </c>
      <c r="F18" s="6" t="inlineStr">
        <is>
          <t>待检查</t>
        </is>
      </c>
      <c r="G18" s="6" t="inlineStr">
        <is>
          <t>产品/后端</t>
        </is>
      </c>
      <c r="H18" s="6" t="inlineStr"/>
      <c r="I18" s="6" t="n"/>
    </row>
    <row r="19">
      <c r="A19" s="7" t="inlineStr">
        <is>
          <t>A16</t>
        </is>
      </c>
      <c r="B19" s="7" t="inlineStr">
        <is>
          <t>P0</t>
        </is>
      </c>
      <c r="C19" s="7" t="inlineStr">
        <is>
          <t>身份认证</t>
        </is>
      </c>
      <c r="D19" s="7" t="inlineStr">
        <is>
          <t>登录态、授权、对象归属、服务身份是否分别校验？</t>
        </is>
      </c>
      <c r="E19" s="7" t="inlineStr">
        <is>
          <t>模型参数不作为授权依据</t>
        </is>
      </c>
      <c r="F19" s="7" t="inlineStr">
        <is>
          <t>待检查</t>
        </is>
      </c>
      <c r="G19" s="7" t="inlineStr">
        <is>
          <t>后端/安全</t>
        </is>
      </c>
      <c r="H19" s="7" t="inlineStr"/>
      <c r="I19" s="7" t="n"/>
    </row>
    <row r="20">
      <c r="A20" s="6" t="inlineStr">
        <is>
          <t>A17</t>
        </is>
      </c>
      <c r="B20" s="6" t="inlineStr">
        <is>
          <t>P0</t>
        </is>
      </c>
      <c r="C20" s="6" t="inlineStr">
        <is>
          <t>字段最小化</t>
        </is>
      </c>
      <c r="D20" s="6" t="inlineStr">
        <is>
          <t>API原始响应是否经过适配器裁剪后再进入模型？</t>
        </is>
      </c>
      <c r="E20" s="6" t="inlineStr">
        <is>
          <t>无内部ID、风控标签、无关明细</t>
        </is>
      </c>
      <c r="F20" s="6" t="inlineStr">
        <is>
          <t>待检查</t>
        </is>
      </c>
      <c r="G20" s="6" t="inlineStr">
        <is>
          <t>后端/安全</t>
        </is>
      </c>
      <c r="H20" s="6" t="inlineStr"/>
      <c r="I20" s="6" t="n"/>
    </row>
    <row r="21">
      <c r="A21" s="7" t="inlineStr">
        <is>
          <t>A18</t>
        </is>
      </c>
      <c r="B21" s="7" t="inlineStr">
        <is>
          <t>P0</t>
        </is>
      </c>
      <c r="C21" s="7" t="inlineStr">
        <is>
          <t>工具权限</t>
        </is>
      </c>
      <c r="D21" s="7" t="inlineStr">
        <is>
          <t>服务身份是否只拥有白名单只读scope？</t>
        </is>
      </c>
      <c r="E21" s="7" t="inlineStr">
        <is>
          <t>无通配CRM权限</t>
        </is>
      </c>
      <c r="F21" s="7" t="inlineStr">
        <is>
          <t>待检查</t>
        </is>
      </c>
      <c r="G21" s="7" t="inlineStr">
        <is>
          <t>后端/安全</t>
        </is>
      </c>
      <c r="H21" s="7" t="inlineStr"/>
      <c r="I21" s="7" t="n"/>
    </row>
    <row r="22">
      <c r="A22" s="6" t="inlineStr">
        <is>
          <t>A19</t>
        </is>
      </c>
      <c r="B22" s="6" t="inlineStr">
        <is>
          <t>P1</t>
        </is>
      </c>
      <c r="C22" s="6" t="inlineStr">
        <is>
          <t>审计</t>
        </is>
      </c>
      <c r="D22" s="6" t="inlineStr">
        <is>
          <t>是否记录场景、工具、参数摘要、结果码、版本与转人工原因？</t>
        </is>
      </c>
      <c r="E22" s="6" t="inlineStr">
        <is>
          <t>不记录token/验证码/完整敏感字段</t>
        </is>
      </c>
      <c r="F22" s="6" t="inlineStr">
        <is>
          <t>待检查</t>
        </is>
      </c>
      <c r="G22" s="6" t="inlineStr">
        <is>
          <t>后端/安全</t>
        </is>
      </c>
      <c r="H22" s="6" t="inlineStr"/>
      <c r="I22" s="6" t="n"/>
    </row>
    <row r="23">
      <c r="A23" s="7" t="inlineStr">
        <is>
          <t>A20</t>
        </is>
      </c>
      <c r="B23" s="7" t="inlineStr">
        <is>
          <t>P0</t>
        </is>
      </c>
      <c r="C23" s="7" t="inlineStr">
        <is>
          <t>国家规则</t>
        </is>
      </c>
      <c r="D23" s="7" t="inlineStr">
        <is>
          <t>国家、品牌、业务线、语言和生效时间是否作为检索硬过滤？</t>
        </is>
      </c>
      <c r="E23" s="7" t="inlineStr">
        <is>
          <t>不依赖模型自行判断隔离</t>
        </is>
      </c>
      <c r="F23" s="7" t="inlineStr">
        <is>
          <t>待检查</t>
        </is>
      </c>
      <c r="G23" s="7" t="inlineStr">
        <is>
          <t>产品/知识运营</t>
        </is>
      </c>
      <c r="H23" s="7" t="inlineStr"/>
      <c r="I23" s="7" t="n"/>
    </row>
    <row r="24">
      <c r="A24" s="6" t="inlineStr">
        <is>
          <t>A21</t>
        </is>
      </c>
      <c r="B24" s="6" t="inlineStr">
        <is>
          <t>P1</t>
        </is>
      </c>
      <c r="C24" s="6" t="inlineStr">
        <is>
          <t>人工衔接</t>
        </is>
      </c>
      <c r="D24" s="6" t="inlineStr">
        <is>
          <t>转人工是否携带问题、意图、已查事实、命中知识、失败原因和会话摘要？</t>
        </is>
      </c>
      <c r="E24" s="6" t="inlineStr">
        <is>
          <t>人工无需重新问一遍</t>
        </is>
      </c>
      <c r="F24" s="6" t="inlineStr">
        <is>
          <t>待检查</t>
        </is>
      </c>
      <c r="G24" s="6" t="inlineStr">
        <is>
          <t>产品/客服</t>
        </is>
      </c>
      <c r="H24" s="6" t="inlineStr"/>
      <c r="I24" s="6" t="n"/>
    </row>
    <row r="25">
      <c r="A25" s="7" t="inlineStr">
        <is>
          <t>A22</t>
        </is>
      </c>
      <c r="B25" s="7" t="inlineStr">
        <is>
          <t>P1</t>
        </is>
      </c>
      <c r="C25" s="7" t="inlineStr">
        <is>
          <t>指标定义</t>
        </is>
      </c>
      <c r="D25" s="7" t="inlineStr">
        <is>
          <t>自助解决率、转人工率、响应时长等指标是否有明确分子分母？</t>
        </is>
      </c>
      <c r="E25" s="7" t="inlineStr">
        <is>
          <t>不只写一个百分比</t>
        </is>
      </c>
      <c r="F25" s="7" t="inlineStr">
        <is>
          <t>待检查</t>
        </is>
      </c>
      <c r="G25" s="7" t="inlineStr">
        <is>
          <t>产品/数据</t>
        </is>
      </c>
      <c r="H25" s="7" t="inlineStr"/>
      <c r="I25" s="7" t="n"/>
    </row>
    <row r="26">
      <c r="A26" s="6" t="inlineStr">
        <is>
          <t>A23</t>
        </is>
      </c>
      <c r="B26" s="6" t="inlineStr">
        <is>
          <t>P0</t>
        </is>
      </c>
      <c r="C26" s="6" t="inlineStr">
        <is>
          <t>安全门槛</t>
        </is>
      </c>
      <c r="D26" s="6" t="inlineStr">
        <is>
          <t>跨账号、资产编造、错误国家规则、自动承诺补偿是否设置一票否决？</t>
        </is>
      </c>
      <c r="E26" s="6" t="inlineStr">
        <is>
          <t>P0错误为0</t>
        </is>
      </c>
      <c r="F26" s="6" t="inlineStr">
        <is>
          <t>待检查</t>
        </is>
      </c>
      <c r="G26" s="6" t="inlineStr">
        <is>
          <t>产品/安全</t>
        </is>
      </c>
      <c r="H26" s="6" t="inlineStr"/>
      <c r="I26" s="6" t="n"/>
    </row>
    <row r="27">
      <c r="A27" s="7" t="inlineStr">
        <is>
          <t>A24</t>
        </is>
      </c>
      <c r="B27" s="7" t="inlineStr">
        <is>
          <t>P1</t>
        </is>
      </c>
      <c r="C27" s="7" t="inlineStr">
        <is>
          <t>项目推进</t>
        </is>
      </c>
      <c r="D27" s="7" t="inlineStr">
        <is>
          <t>是否有场景盘点、方案、接口/知识建设、灰度评测和运营优化节奏？</t>
        </is>
      </c>
      <c r="E27" s="7" t="inlineStr">
        <is>
          <t>排期与依赖可解释</t>
        </is>
      </c>
      <c r="F27" s="7" t="inlineStr">
        <is>
          <t>待检查</t>
        </is>
      </c>
      <c r="G27" s="7" t="inlineStr">
        <is>
          <t>产品经理</t>
        </is>
      </c>
      <c r="H27" s="7" t="inlineStr"/>
      <c r="I27" s="7" t="n"/>
    </row>
    <row r="28">
      <c r="A28" s="6" t="inlineStr">
        <is>
          <t>A25</t>
        </is>
      </c>
      <c r="B28" s="6" t="inlineStr">
        <is>
          <t>P1</t>
        </is>
      </c>
      <c r="C28" s="6" t="inlineStr">
        <is>
          <t>协作责任</t>
        </is>
      </c>
      <c r="D28" s="6" t="inlineStr">
        <is>
          <t>产品、会员中台、AI、后端、客服、区域运营、安全的RACI是否明确？</t>
        </is>
      </c>
      <c r="E28" s="6" t="inlineStr">
        <is>
          <t>无责任空白</t>
        </is>
      </c>
      <c r="F28" s="6" t="inlineStr">
        <is>
          <t>待检查</t>
        </is>
      </c>
      <c r="G28" s="6" t="inlineStr">
        <is>
          <t>项目负责人</t>
        </is>
      </c>
      <c r="H28" s="6" t="inlineStr"/>
      <c r="I28" s="6" t="n"/>
    </row>
    <row r="29">
      <c r="A29" s="7" t="inlineStr">
        <is>
          <t>A26</t>
        </is>
      </c>
      <c r="B29" s="7" t="inlineStr">
        <is>
          <t>P0</t>
        </is>
      </c>
      <c r="C29" s="7" t="inlineStr">
        <is>
          <t>面试真实性</t>
        </is>
      </c>
      <c r="D29" s="7" t="inlineStr">
        <is>
          <t>能否明确说明哪些是实际经历、哪些是方案/模拟实战？</t>
        </is>
      </c>
      <c r="E29" s="7" t="inlineStr">
        <is>
          <t>不虚构真实生产结果</t>
        </is>
      </c>
      <c r="F29" s="7" t="inlineStr">
        <is>
          <t>待检查</t>
        </is>
      </c>
      <c r="G29" s="7" t="inlineStr">
        <is>
          <t>个人</t>
        </is>
      </c>
      <c r="H29" s="7" t="inlineStr"/>
      <c r="I29" s="7" t="n"/>
    </row>
    <row r="30">
      <c r="A30" s="6" t="inlineStr">
        <is>
          <t>A27</t>
        </is>
      </c>
      <c r="B30" s="6" t="inlineStr">
        <is>
          <t>P1</t>
        </is>
      </c>
      <c r="C30" s="6" t="inlineStr">
        <is>
          <t>方案取舍</t>
        </is>
      </c>
      <c r="D30" s="6" t="inlineStr">
        <is>
          <t>为什么不首期做多Agent、自动补偿、语音或营销推荐？</t>
        </is>
      </c>
      <c r="E30" s="6" t="inlineStr">
        <is>
          <t>取舍与风险/成本相关</t>
        </is>
      </c>
      <c r="F30" s="6" t="inlineStr">
        <is>
          <t>待检查</t>
        </is>
      </c>
      <c r="G30" s="6" t="inlineStr">
        <is>
          <t>产品经理</t>
        </is>
      </c>
      <c r="H30" s="6" t="inlineStr"/>
      <c r="I30" s="6" t="n"/>
    </row>
    <row r="31">
      <c r="A31" s="7" t="inlineStr">
        <is>
          <t>A28</t>
        </is>
      </c>
      <c r="B31" s="7" t="inlineStr">
        <is>
          <t>P1</t>
        </is>
      </c>
      <c r="C31" s="7" t="inlineStr">
        <is>
          <t>验证计划</t>
        </is>
      </c>
      <c r="D31" s="7" t="inlineStr">
        <is>
          <t>第一阶段结论是否能被后续API、RAG、Golden Set和灰度数据验证？</t>
        </is>
      </c>
      <c r="E31" s="7" t="inlineStr">
        <is>
          <t>有验证入口</t>
        </is>
      </c>
      <c r="F31" s="7" t="inlineStr">
        <is>
          <t>待检查</t>
        </is>
      </c>
      <c r="G31" s="7" t="inlineStr">
        <is>
          <t>产品经理</t>
        </is>
      </c>
      <c r="H31" s="7" t="inlineStr"/>
      <c r="I31" s="7" t="n"/>
    </row>
  </sheetData>
  <mergeCells count="2">
    <mergeCell ref="A1:I1"/>
    <mergeCell ref="A2:I2"/>
  </mergeCells>
  <conditionalFormatting sqref="F4:F31">
    <cfRule type="expression" priority="1" dxfId="0">
      <formula>F4="不通过"</formula>
    </cfRule>
    <cfRule type="expression" priority="2" dxfId="1">
      <formula>F4="通过"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32" customWidth="1" min="5" max="5"/>
    <col width="12" customWidth="1" min="6" max="6"/>
    <col width="28" customWidth="1" min="7" max="7"/>
  </cols>
  <sheetData>
    <row r="1" ht="34" customHeight="1">
      <c r="A1" s="1" t="inlineStr">
        <is>
          <t>第一阶段完成度总览</t>
        </is>
      </c>
    </row>
    <row r="2" ht="32" customHeight="1">
      <c r="A2" s="2" t="inlineStr">
        <is>
          <t>公式自动统计“一致性检查”中的状态。</t>
        </is>
      </c>
    </row>
    <row r="3" ht="30" customHeight="1">
      <c r="A3" s="5" t="inlineStr">
        <is>
          <t>指标</t>
        </is>
      </c>
      <c r="B3" s="5" t="inlineStr">
        <is>
          <t>公式结果</t>
        </is>
      </c>
      <c r="C3" s="5" t="inlineStr">
        <is>
          <t>目标</t>
        </is>
      </c>
      <c r="D3" s="5" t="inlineStr">
        <is>
          <t>判断</t>
        </is>
      </c>
      <c r="E3" s="5" t="inlineStr">
        <is>
          <t>说明</t>
        </is>
      </c>
      <c r="F3" s="5" t="inlineStr">
        <is>
          <t>风险级别</t>
        </is>
      </c>
      <c r="G3" s="5" t="inlineStr">
        <is>
          <t>后续动作</t>
        </is>
      </c>
    </row>
    <row r="4">
      <c r="A4" s="6" t="inlineStr">
        <is>
          <t>检查项总数</t>
        </is>
      </c>
      <c r="B4" s="6">
        <f>COUNTA(一致性检查!A4:A200)</f>
        <v/>
      </c>
      <c r="C4" s="6" t="n">
        <v>28</v>
      </c>
      <c r="D4" s="6">
        <f>IF(B4=C4,"正常","检查范围变化")</f>
        <v/>
      </c>
      <c r="E4" s="6" t="inlineStr">
        <is>
          <t>全部检查项</t>
        </is>
      </c>
      <c r="F4" s="6" t="inlineStr">
        <is>
          <t>信息</t>
        </is>
      </c>
      <c r="G4" s="6" t="inlineStr"/>
    </row>
    <row r="5">
      <c r="A5" s="7" t="inlineStr">
        <is>
          <t>已通过</t>
        </is>
      </c>
      <c r="B5" s="7">
        <f>COUNTIF(一致性检查!F4:F200,"通过")</f>
        <v/>
      </c>
      <c r="C5" s="7" t="inlineStr">
        <is>
          <t>-</t>
        </is>
      </c>
      <c r="D5" s="7">
        <f>IF(B5=0,"未开始","进行中")</f>
        <v/>
      </c>
      <c r="E5" s="7" t="inlineStr">
        <is>
          <t>通过数量</t>
        </is>
      </c>
      <c r="F5" s="7" t="inlineStr">
        <is>
          <t>信息</t>
        </is>
      </c>
      <c r="G5" s="7" t="inlineStr"/>
    </row>
    <row r="6">
      <c r="A6" s="6" t="inlineStr">
        <is>
          <t>待补充</t>
        </is>
      </c>
      <c r="B6" s="6">
        <f>COUNTIF(一致性检查!F4:F200,"待补充")</f>
        <v/>
      </c>
      <c r="C6" s="6" t="n">
        <v>0</v>
      </c>
      <c r="D6" s="6">
        <f>IF(B6=0,"通过","需补充")</f>
        <v/>
      </c>
      <c r="E6" s="6" t="inlineStr">
        <is>
          <t>不能带入下一阶段</t>
        </is>
      </c>
      <c r="F6" s="6" t="inlineStr">
        <is>
          <t>提醒</t>
        </is>
      </c>
      <c r="G6" s="6" t="inlineStr"/>
    </row>
    <row r="7">
      <c r="A7" s="7" t="inlineStr">
        <is>
          <t>不通过</t>
        </is>
      </c>
      <c r="B7" s="7">
        <f>COUNTIF(一致性检查!F4:F200,"不通过")</f>
        <v/>
      </c>
      <c r="C7" s="7" t="n">
        <v>0</v>
      </c>
      <c r="D7" s="7">
        <f>IF(B7=0,"通过","阻断")</f>
        <v/>
      </c>
      <c r="E7" s="7" t="inlineStr">
        <is>
          <t>P0问题优先处理</t>
        </is>
      </c>
      <c r="F7" s="7" t="inlineStr">
        <is>
          <t>P0</t>
        </is>
      </c>
      <c r="G7" s="7" t="inlineStr"/>
    </row>
    <row r="8">
      <c r="A8" s="6" t="inlineStr">
        <is>
          <t>P0不通过</t>
        </is>
      </c>
      <c r="B8" s="6">
        <f>COUNTIFS(一致性检查!B4:B200,"P0",一致性检查!F4:F200,"不通过")</f>
        <v/>
      </c>
      <c r="C8" s="6" t="n">
        <v>0</v>
      </c>
      <c r="D8" s="6">
        <f>IF(B8=0,"通过","禁止进入下一阶段")</f>
        <v/>
      </c>
      <c r="E8" s="6" t="inlineStr">
        <is>
          <t>一票否决</t>
        </is>
      </c>
      <c r="F8" s="6" t="inlineStr">
        <is>
          <t>P0</t>
        </is>
      </c>
      <c r="G8" s="6" t="inlineStr"/>
    </row>
    <row r="9">
      <c r="A9" s="7" t="inlineStr">
        <is>
          <t>总体完成率</t>
        </is>
      </c>
      <c r="B9" s="8">
        <f>IFERROR(B5/B4,0)</f>
        <v/>
      </c>
      <c r="C9" s="8" t="n">
        <v>0.9</v>
      </c>
      <c r="D9" s="7">
        <f>IF(B9&gt;=C9,"达标","未达标")</f>
        <v/>
      </c>
      <c r="E9" s="7" t="inlineStr">
        <is>
          <t>通过/总数</t>
        </is>
      </c>
      <c r="F9" s="7" t="inlineStr">
        <is>
          <t>指标</t>
        </is>
      </c>
      <c r="G9" s="7" t="inlineStr"/>
    </row>
    <row r="10">
      <c r="A10" s="6" t="inlineStr">
        <is>
          <t>阶段结论</t>
        </is>
      </c>
      <c r="B10" s="6">
        <f>IF(AND(B8=0,B9&gt;=C9),"可进入Agent/API学习","先补齐第一阶段")</f>
        <v/>
      </c>
      <c r="C10" s="6" t="inlineStr">
        <is>
          <t>可进入Agent/API学习</t>
        </is>
      </c>
      <c r="D10" s="6">
        <f>IF(B10=C10,"通过","未通过")</f>
        <v/>
      </c>
      <c r="E10" s="6" t="inlineStr">
        <is>
          <t>综合判断</t>
        </is>
      </c>
      <c r="F10" s="6" t="inlineStr">
        <is>
          <t>结论</t>
        </is>
      </c>
      <c r="G10" s="6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4" customWidth="1" min="4" max="4"/>
    <col width="30" customWidth="1" min="5" max="5"/>
    <col width="16" customWidth="1" min="6" max="6"/>
    <col width="13" customWidth="1" min="7" max="7"/>
  </cols>
  <sheetData>
    <row r="1" ht="34" customHeight="1">
      <c r="A1" s="1" t="inlineStr">
        <is>
          <t>第一阶段关键决策记录</t>
        </is>
      </c>
    </row>
    <row r="2" ht="32" customHeight="1">
      <c r="A2" s="2" t="inlineStr">
        <is>
          <t>记录“选了什么、为什么、不做什么”，避免面试时只讲功能不讲取舍。</t>
        </is>
      </c>
    </row>
    <row r="3" ht="30" customHeight="1">
      <c r="A3" s="5" t="inlineStr">
        <is>
          <t>决策ID</t>
        </is>
      </c>
      <c r="B3" s="5" t="inlineStr">
        <is>
          <t>决策主题</t>
        </is>
      </c>
      <c r="C3" s="5" t="inlineStr">
        <is>
          <t>推荐方案</t>
        </is>
      </c>
      <c r="D3" s="5" t="inlineStr">
        <is>
          <t>理由</t>
        </is>
      </c>
      <c r="E3" s="5" t="inlineStr">
        <is>
          <t>明确不做</t>
        </is>
      </c>
      <c r="F3" s="5" t="inlineStr">
        <is>
          <t>责任角色</t>
        </is>
      </c>
      <c r="G3" s="5" t="inlineStr">
        <is>
          <t>状态</t>
        </is>
      </c>
    </row>
    <row r="4">
      <c r="A4" s="6" t="inlineStr">
        <is>
          <t>D01</t>
        </is>
      </c>
      <c r="B4" s="6" t="inlineStr">
        <is>
          <t>一期Agent形态</t>
        </is>
      </c>
      <c r="C4" s="6" t="inlineStr">
        <is>
          <t>单入口服务Agent + 代码工作流 + 只读工具 + RAG + 人工接管</t>
        </is>
      </c>
      <c r="D4" s="6" t="inlineStr">
        <is>
          <t>会员服务规则确定、高风险资产多，不适合完全自治</t>
        </is>
      </c>
      <c r="E4" s="6" t="inlineStr">
        <is>
          <t>首期不拆多Agent</t>
        </is>
      </c>
      <c r="F4" s="6" t="inlineStr">
        <is>
          <t>产品/技术</t>
        </is>
      </c>
      <c r="G4" s="6" t="inlineStr">
        <is>
          <t>待确认</t>
        </is>
      </c>
    </row>
    <row r="5">
      <c r="A5" s="7" t="inlineStr">
        <is>
          <t>D02</t>
        </is>
      </c>
      <c r="B5" s="7" t="inlineStr">
        <is>
          <t>模型职责</t>
        </is>
      </c>
      <c r="C5" s="7" t="inlineStr">
        <is>
          <t>意图候选、槽位抽取、澄清表达、结果组织</t>
        </is>
      </c>
      <c r="D5" s="7" t="inlineStr">
        <is>
          <t>利用语言理解优势</t>
        </is>
      </c>
      <c r="E5" s="7" t="inlineStr">
        <is>
          <t>不得决定权限、资格和赔偿</t>
        </is>
      </c>
      <c r="F5" s="7" t="inlineStr">
        <is>
          <t>产品/算法</t>
        </is>
      </c>
      <c r="G5" s="7" t="inlineStr">
        <is>
          <t>待确认</t>
        </is>
      </c>
    </row>
    <row r="6">
      <c r="A6" s="6" t="inlineStr">
        <is>
          <t>D03</t>
        </is>
      </c>
      <c r="B6" s="6" t="inlineStr">
        <is>
          <t>代码职责</t>
        </is>
      </c>
      <c r="C6" s="6" t="inlineStr">
        <is>
          <t>身份/归属、路由、状态机、参数校验、超时重试、风险拦截</t>
        </is>
      </c>
      <c r="D6" s="6" t="inlineStr">
        <is>
          <t>保证可复现与可审计</t>
        </is>
      </c>
      <c r="E6" s="6" t="inlineStr">
        <is>
          <t>不把流程条件写进自然语言Prompt</t>
        </is>
      </c>
      <c r="F6" s="6" t="inlineStr">
        <is>
          <t>后端/平台</t>
        </is>
      </c>
      <c r="G6" s="6" t="inlineStr">
        <is>
          <t>待确认</t>
        </is>
      </c>
    </row>
    <row r="7">
      <c r="A7" s="7" t="inlineStr">
        <is>
          <t>D04</t>
        </is>
      </c>
      <c r="B7" s="7" t="inlineStr">
        <is>
          <t>工具权限</t>
        </is>
      </c>
      <c r="C7" s="7" t="inlineStr">
        <is>
          <t>本人资产只读；工单创建为受控写入</t>
        </is>
      </c>
      <c r="D7" s="7" t="inlineStr">
        <is>
          <t>最小功能、最小权限、最小自治</t>
        </is>
      </c>
      <c r="E7" s="7" t="inlineStr">
        <is>
          <t>不开放补积分/补券/退款</t>
        </is>
      </c>
      <c r="F7" s="7" t="inlineStr">
        <is>
          <t>安全/后端</t>
        </is>
      </c>
      <c r="G7" s="7" t="inlineStr">
        <is>
          <t>待确认</t>
        </is>
      </c>
    </row>
    <row r="8">
      <c r="A8" s="6" t="inlineStr">
        <is>
          <t>D05</t>
        </is>
      </c>
      <c r="B8" s="6" t="inlineStr">
        <is>
          <t>RAG隔离</t>
        </is>
      </c>
      <c r="C8" s="6" t="inlineStr">
        <is>
          <t>国家/品牌/业务线/语言/生效时间硬过滤</t>
        </is>
      </c>
      <c r="D8" s="6" t="inlineStr">
        <is>
          <t>防止规则串用</t>
        </is>
      </c>
      <c r="E8" s="6" t="inlineStr">
        <is>
          <t>无有效证据不回答</t>
        </is>
      </c>
      <c r="F8" s="6" t="inlineStr">
        <is>
          <t>知识运营/AI</t>
        </is>
      </c>
      <c r="G8" s="6" t="inlineStr">
        <is>
          <t>待确认</t>
        </is>
      </c>
    </row>
    <row r="9">
      <c r="A9" s="7" t="inlineStr">
        <is>
          <t>D06</t>
        </is>
      </c>
      <c r="B9" s="7" t="inlineStr">
        <is>
          <t>异常处理</t>
        </is>
      </c>
      <c r="C9" s="7" t="inlineStr">
        <is>
          <t>确定性原因树优先，模型只做信息抽取和解释</t>
        </is>
      </c>
      <c r="D9" s="7" t="inlineStr">
        <is>
          <t>便于验证每个分支</t>
        </is>
      </c>
      <c r="E9" s="7" t="inlineStr">
        <is>
          <t>复杂争议转人工</t>
        </is>
      </c>
      <c r="F9" s="7" t="inlineStr">
        <is>
          <t>产品/后端</t>
        </is>
      </c>
      <c r="G9" s="7" t="inlineStr">
        <is>
          <t>待确认</t>
        </is>
      </c>
    </row>
    <row r="10">
      <c r="A10" s="6" t="inlineStr">
        <is>
          <t>D07</t>
        </is>
      </c>
      <c r="B10" s="6" t="inlineStr">
        <is>
          <t>上下文</t>
        </is>
      </c>
      <c r="C10" s="6" t="inlineStr">
        <is>
          <t>结构化状态与短摘要；敏感信息不进入长期记忆</t>
        </is>
      </c>
      <c r="D10" s="6" t="inlineStr">
        <is>
          <t>减少串对象与上下文污染</t>
        </is>
      </c>
      <c r="E10" s="6" t="inlineStr">
        <is>
          <t>身份变化立即清理</t>
        </is>
      </c>
      <c r="F10" s="6" t="inlineStr">
        <is>
          <t>产品/安全</t>
        </is>
      </c>
      <c r="G10" s="6" t="inlineStr">
        <is>
          <t>待确认</t>
        </is>
      </c>
    </row>
    <row r="11">
      <c r="A11" s="7" t="inlineStr">
        <is>
          <t>D08</t>
        </is>
      </c>
      <c r="B11" s="7" t="inlineStr">
        <is>
          <t>上线门槛</t>
        </is>
      </c>
      <c r="C11" s="7" t="inlineStr">
        <is>
          <t>P0安全错误为0，分场景指标达标后灰度</t>
        </is>
      </c>
      <c r="D11" s="7" t="inlineStr">
        <is>
          <t>平均分不能稀释严重错误</t>
        </is>
      </c>
      <c r="E11" s="7" t="inlineStr">
        <is>
          <t>高风险场景单独评测</t>
        </is>
      </c>
      <c r="F11" s="7" t="inlineStr">
        <is>
          <t>产品/安全</t>
        </is>
      </c>
      <c r="G11" s="7" t="inlineStr">
        <is>
          <t>待确认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54" customWidth="1" min="4" max="4"/>
    <col width="10" customWidth="1" min="5" max="5"/>
    <col width="50" customWidth="1" min="6" max="6"/>
    <col width="32" customWidth="1" min="7" max="7"/>
  </cols>
  <sheetData>
    <row r="1" ht="34" customHeight="1">
      <c r="A1" s="1" t="inlineStr">
        <is>
          <t>第一阶段项目答辩题库</t>
        </is>
      </c>
    </row>
    <row r="2" ht="32" customHeight="1">
      <c r="A2" s="2" t="inlineStr">
        <is>
          <t>先独立回答，再对照回答要点；不要背模板，要能结合项目材料举例。</t>
        </is>
      </c>
    </row>
    <row r="3" ht="30" customHeight="1">
      <c r="A3" s="5" t="inlineStr">
        <is>
          <t>题号</t>
        </is>
      </c>
      <c r="B3" s="5" t="inlineStr">
        <is>
          <t>维度</t>
        </is>
      </c>
      <c r="C3" s="5" t="inlineStr">
        <is>
          <t>面试追问</t>
        </is>
      </c>
      <c r="D3" s="5" t="inlineStr">
        <is>
          <t>回答必须覆盖</t>
        </is>
      </c>
      <c r="E3" s="5" t="inlineStr">
        <is>
          <t>难度</t>
        </is>
      </c>
      <c r="F3" s="5" t="inlineStr">
        <is>
          <t>我的回答</t>
        </is>
      </c>
      <c r="G3" s="5" t="inlineStr">
        <is>
          <t>复盘备注</t>
        </is>
      </c>
    </row>
    <row r="4" ht="58" customHeight="1">
      <c r="A4" s="6" t="inlineStr">
        <is>
          <t>Q01</t>
        </is>
      </c>
      <c r="B4" s="6" t="inlineStr">
        <is>
          <t>项目背景</t>
        </is>
      </c>
      <c r="C4" s="6" t="inlineStr">
        <is>
          <t>为什么不直接接一个知识库机器人？</t>
        </is>
      </c>
      <c r="D4" s="6" t="inlineStr">
        <is>
          <t>区分资产事实、规则知识、异常流程和人工处理；说明API/RAG/工作流/人工四类能力。</t>
        </is>
      </c>
      <c r="E4" s="6" t="inlineStr">
        <is>
          <t>高</t>
        </is>
      </c>
      <c r="F4" s="6" t="inlineStr"/>
      <c r="G4" s="6" t="inlineStr"/>
    </row>
    <row r="5" ht="58" customHeight="1">
      <c r="A5" s="7" t="inlineStr">
        <is>
          <t>Q02</t>
        </is>
      </c>
      <c r="B5" s="7" t="inlineStr">
        <is>
          <t>业务价值</t>
        </is>
      </c>
      <c r="C5" s="7" t="inlineStr">
        <is>
          <t>你如何证明这个项目值得做？</t>
        </is>
      </c>
      <c r="D5" s="7" t="inlineStr">
        <is>
          <t>从咨询量结构、重复问题、人力时段、规则误答和会员权益使用损失建立基线。</t>
        </is>
      </c>
      <c r="E5" s="7" t="inlineStr">
        <is>
          <t>高</t>
        </is>
      </c>
      <c r="F5" s="7" t="inlineStr"/>
      <c r="G5" s="7" t="inlineStr"/>
    </row>
    <row r="6" ht="58" customHeight="1">
      <c r="A6" s="6" t="inlineStr">
        <is>
          <t>Q03</t>
        </is>
      </c>
      <c r="B6" s="6" t="inlineStr">
        <is>
          <t>场景范围</t>
        </is>
      </c>
      <c r="C6" s="6" t="inlineStr">
        <is>
          <t>首期为什么选择积分、券、等级和生日礼？</t>
        </is>
      </c>
      <c r="D6" s="6" t="inlineStr">
        <is>
          <t>高频、标准化、数据可得、用户影响大；同时排除高风险写操作。</t>
        </is>
      </c>
      <c r="E6" s="6" t="inlineStr">
        <is>
          <t>高</t>
        </is>
      </c>
      <c r="F6" s="6" t="inlineStr"/>
      <c r="G6" s="6" t="inlineStr"/>
    </row>
    <row r="7" ht="58" customHeight="1">
      <c r="A7" s="7" t="inlineStr">
        <is>
          <t>Q04</t>
        </is>
      </c>
      <c r="B7" s="7" t="inlineStr">
        <is>
          <t>架构取舍</t>
        </is>
      </c>
      <c r="C7" s="7" t="inlineStr">
        <is>
          <t>为什么选择受控工作流，而不是全自治Agent？</t>
        </is>
      </c>
      <c r="D7" s="7" t="inlineStr">
        <is>
          <t>业务规则明确且资产敏感，需要可复现、可审计和最小权限。</t>
        </is>
      </c>
      <c r="E7" s="7" t="inlineStr">
        <is>
          <t>高</t>
        </is>
      </c>
      <c r="F7" s="7" t="inlineStr"/>
      <c r="G7" s="7" t="inlineStr"/>
    </row>
    <row r="8" ht="58" customHeight="1">
      <c r="A8" s="6" t="inlineStr">
        <is>
          <t>Q05</t>
        </is>
      </c>
      <c r="B8" s="6" t="inlineStr">
        <is>
          <t>意图识别</t>
        </is>
      </c>
      <c r="C8" s="6" t="inlineStr">
        <is>
          <t>50个场景是否等于50个分类标签？</t>
        </is>
      </c>
      <c r="D8" s="6" t="inlineStr">
        <is>
          <t>采用业务域+动作+场景ID+槽位；保留多意图和低置信度机制。</t>
        </is>
      </c>
      <c r="E8" s="6" t="inlineStr">
        <is>
          <t>中</t>
        </is>
      </c>
      <c r="F8" s="6" t="inlineStr"/>
      <c r="G8" s="6" t="inlineStr"/>
    </row>
    <row r="9" ht="58" customHeight="1">
      <c r="A9" s="7" t="inlineStr">
        <is>
          <t>Q06</t>
        </is>
      </c>
      <c r="B9" s="7" t="inlineStr">
        <is>
          <t>多轮会话</t>
        </is>
      </c>
      <c r="C9" s="7" t="inlineStr">
        <is>
          <t>模型如何记住用户前面说的是哪张券？</t>
        </is>
      </c>
      <c r="D9" s="7" t="inlineStr">
        <is>
          <t>对象引用由结构化状态保存，模型只生成候选；切换与失效由代码控制。</t>
        </is>
      </c>
      <c r="E9" s="7" t="inlineStr">
        <is>
          <t>高</t>
        </is>
      </c>
      <c r="F9" s="7" t="inlineStr"/>
      <c r="G9" s="7" t="inlineStr"/>
    </row>
    <row r="10" ht="58" customHeight="1">
      <c r="A10" s="6" t="inlineStr">
        <is>
          <t>Q07</t>
        </is>
      </c>
      <c r="B10" s="6" t="inlineStr">
        <is>
          <t>身份安全</t>
        </is>
      </c>
      <c r="C10" s="6" t="inlineStr">
        <is>
          <t>用户已经登录，为什么还要校验订单归属？</t>
        </is>
      </c>
      <c r="D10" s="6" t="inlineStr">
        <is>
          <t>登录只确认主体，不确认任意对象属于本人；工具服务端做完整授权。</t>
        </is>
      </c>
      <c r="E10" s="6" t="inlineStr">
        <is>
          <t>高</t>
        </is>
      </c>
      <c r="F10" s="6" t="inlineStr"/>
      <c r="G10" s="6" t="inlineStr"/>
    </row>
    <row r="11" ht="58" customHeight="1">
      <c r="A11" s="7" t="inlineStr">
        <is>
          <t>Q08</t>
        </is>
      </c>
      <c r="B11" s="7" t="inlineStr">
        <is>
          <t>数据安全</t>
        </is>
      </c>
      <c r="C11" s="7" t="inlineStr">
        <is>
          <t>为什么不能把API原始JSON直接给模型？</t>
        </is>
      </c>
      <c r="D11" s="7" t="inlineStr">
        <is>
          <t>字段过量、内部ID、风控字段和无关明细会扩大泄露与误解风险。</t>
        </is>
      </c>
      <c r="E11" s="7" t="inlineStr">
        <is>
          <t>高</t>
        </is>
      </c>
      <c r="F11" s="7" t="inlineStr"/>
      <c r="G11" s="7" t="inlineStr"/>
    </row>
    <row r="12" ht="58" customHeight="1">
      <c r="A12" s="6" t="inlineStr">
        <is>
          <t>Q09</t>
        </is>
      </c>
      <c r="B12" s="6" t="inlineStr">
        <is>
          <t>国家规则</t>
        </is>
      </c>
      <c r="C12" s="6" t="inlineStr">
        <is>
          <t>如何避免新加坡用户拿到马来西亚规则？</t>
        </is>
      </c>
      <c r="D12" s="6" t="inlineStr">
        <is>
          <t>元数据硬过滤+生效版本+证据引用+冲突拒答，不依赖模型猜。</t>
        </is>
      </c>
      <c r="E12" s="6" t="inlineStr">
        <is>
          <t>高</t>
        </is>
      </c>
      <c r="F12" s="6" t="inlineStr"/>
      <c r="G12" s="6" t="inlineStr"/>
    </row>
    <row r="13" ht="58" customHeight="1">
      <c r="A13" s="7" t="inlineStr">
        <is>
          <t>Q10</t>
        </is>
      </c>
      <c r="B13" s="7" t="inlineStr">
        <is>
          <t>转人工</t>
        </is>
      </c>
      <c r="C13" s="7" t="inlineStr">
        <is>
          <t>什么情况必须转人工？</t>
        </is>
      </c>
      <c r="D13" s="7" t="inlineStr">
        <is>
          <t>权限写操作、规则冲突、工具连续失败、投诉赔偿、账号合并、隐私请求。</t>
        </is>
      </c>
      <c r="E13" s="7" t="inlineStr">
        <is>
          <t>高</t>
        </is>
      </c>
      <c r="F13" s="7" t="inlineStr"/>
      <c r="G13" s="7" t="inlineStr"/>
    </row>
    <row r="14" ht="58" customHeight="1">
      <c r="A14" s="6" t="inlineStr">
        <is>
          <t>Q11</t>
        </is>
      </c>
      <c r="B14" s="6" t="inlineStr">
        <is>
          <t>指标</t>
        </is>
      </c>
      <c r="C14" s="6" t="inlineStr">
        <is>
          <t>75%自助解决率怎么定义？</t>
        </is>
      </c>
      <c r="D14" s="6" t="inlineStr">
        <is>
          <t>明确有效会话分母、解决判定信号、排除项，并按场景/风险分层。</t>
        </is>
      </c>
      <c r="E14" s="6" t="inlineStr">
        <is>
          <t>高</t>
        </is>
      </c>
      <c r="F14" s="6" t="inlineStr"/>
      <c r="G14" s="6" t="inlineStr"/>
    </row>
    <row r="15" ht="58" customHeight="1">
      <c r="A15" s="7" t="inlineStr">
        <is>
          <t>Q12</t>
        </is>
      </c>
      <c r="B15" s="7" t="inlineStr">
        <is>
          <t>响应时间</t>
        </is>
      </c>
      <c r="C15" s="7" t="inlineStr">
        <is>
          <t>3秒是首字还是完整回答？</t>
        </is>
      </c>
      <c r="D15" s="7" t="inlineStr">
        <is>
          <t>拆解意图、API、检索、生成的P50/P95，不只报均值。</t>
        </is>
      </c>
      <c r="E15" s="7" t="inlineStr">
        <is>
          <t>中</t>
        </is>
      </c>
      <c r="F15" s="7" t="inlineStr"/>
      <c r="G15" s="7" t="inlineStr"/>
    </row>
    <row r="16" ht="58" customHeight="1">
      <c r="A16" s="6" t="inlineStr">
        <is>
          <t>Q13</t>
        </is>
      </c>
      <c r="B16" s="6" t="inlineStr">
        <is>
          <t>项目推进</t>
        </is>
      </c>
      <c r="C16" s="6" t="inlineStr">
        <is>
          <t>四个月如何落地？</t>
        </is>
      </c>
      <c r="D16" s="6" t="inlineStr">
        <is>
          <t>按场景/方案、知识和API、灰度、优化四阶段；说明依赖和取舍。</t>
        </is>
      </c>
      <c r="E16" s="6" t="inlineStr">
        <is>
          <t>高</t>
        </is>
      </c>
      <c r="F16" s="6" t="inlineStr"/>
      <c r="G16" s="6" t="inlineStr"/>
    </row>
    <row r="17" ht="58" customHeight="1">
      <c r="A17" s="7" t="inlineStr">
        <is>
          <t>Q14</t>
        </is>
      </c>
      <c r="B17" s="7" t="inlineStr">
        <is>
          <t>失败案例</t>
        </is>
      </c>
      <c r="C17" s="7" t="inlineStr">
        <is>
          <t>上线后最可能出现什么问题？</t>
        </is>
      </c>
      <c r="D17" s="7" t="inlineStr">
        <is>
          <t>意图混淆、接口超时、国家串库、工具参数错、过度转人工、上下文串对象。</t>
        </is>
      </c>
      <c r="E17" s="7" t="inlineStr">
        <is>
          <t>高</t>
        </is>
      </c>
      <c r="F17" s="7" t="inlineStr"/>
      <c r="G17" s="7" t="inlineStr"/>
    </row>
    <row r="18" ht="58" customHeight="1">
      <c r="A18" s="6" t="inlineStr">
        <is>
          <t>Q15</t>
        </is>
      </c>
      <c r="B18" s="6" t="inlineStr">
        <is>
          <t>真实性</t>
        </is>
      </c>
      <c r="C18" s="6" t="inlineStr">
        <is>
          <t>这是否是你真实上线项目？</t>
        </is>
      </c>
      <c r="D18" s="6" t="inlineStr">
        <is>
          <t>真实底座是会员体系；AI部分应按方案设计/模拟实战如实表述。</t>
        </is>
      </c>
      <c r="E18" s="6" t="inlineStr">
        <is>
          <t>P0</t>
        </is>
      </c>
      <c r="F18" s="6" t="inlineStr"/>
      <c r="G18" s="6" t="inlineStr"/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2026-07-31T03:41:09Z</dcterms:created>
  <dcterms:modified xmlns:dcterms="http://purl.org/dc/terms/" xmlns:xsi="http://www.w3.org/2001/XMLSchema-instance" xsi:type="dcterms:W3CDTF">2026-07-31T03:41:09Z</dcterms:modified>
</cp:coreProperties>
</file>