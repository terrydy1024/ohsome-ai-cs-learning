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工具目录" sheetId="2" state="visible" r:id="rId2"/>
    <sheet xmlns:r="http://schemas.openxmlformats.org/officeDocument/2006/relationships" name="参数字典" sheetId="3" state="visible" r:id="rId3"/>
    <sheet xmlns:r="http://schemas.openxmlformats.org/officeDocument/2006/relationships" name="返回协议" sheetId="4" state="visible" r:id="rId4"/>
    <sheet xmlns:r="http://schemas.openxmlformats.org/officeDocument/2006/relationships" name="错误码" sheetId="5" state="visible" r:id="rId5"/>
    <sheet xmlns:r="http://schemas.openxmlformats.org/officeDocument/2006/relationships" name="场景工具映射" sheetId="6" state="visible" r:id="rId6"/>
    <sheet xmlns:r="http://schemas.openxmlformats.org/officeDocument/2006/relationships" name="Tool Calling用例" sheetId="7" state="visible" r:id="rId7"/>
    <sheet xmlns:r="http://schemas.openxmlformats.org/officeDocument/2006/relationships" name="覆盖检查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F97316"/>
    </font>
    <font>
      <name val="Microsoft YaHei"/>
      <b val="1"/>
      <color rgb="00FFFFFF"/>
      <sz val="10"/>
    </font>
    <font>
      <name val="Microsoft YaHei"/>
      <color rgb="00182033"/>
      <sz val="10"/>
    </font>
  </fonts>
  <fills count="5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2F4F7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thin">
        <color rgb="00E4E7EC"/>
      </bottom>
    </border>
    <border>
      <bottom style="hair">
        <color rgb="00E4E7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oolCatalog" displayName="ToolCatalog" ref="A3:K21" headerRowCount="1">
  <autoFilter ref="A3:K21"/>
  <tableColumns count="11">
    <tableColumn id="1" name="工具名称"/>
    <tableColumn id="2" name="领域"/>
    <tableColumn id="3" name="业务用途"/>
    <tableColumn id="4" name="类型"/>
    <tableColumn id="5" name="最低身份"/>
    <tableColumn id="6" name="输入参数摘要"/>
    <tableColumn id="7" name="返回字段摘要"/>
    <tableColumn id="8" name="主要错误码"/>
    <tableColumn id="9" name="可匿名"/>
    <tableColumn id="10" name="风险级别"/>
    <tableColumn id="11" name="负责人/事实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ameterDictionary" displayName="ParameterDictionary" ref="A3:G23" headerRowCount="1">
  <autoFilter ref="A3:G23"/>
  <tableColumns count="7">
    <tableColumn id="1" name="参数名"/>
    <tableColumn id="2" name="参数分类"/>
    <tableColumn id="3" name="类型"/>
    <tableColumn id="4" name="是否必填"/>
    <tableColumn id="5" name="来源与校验"/>
    <tableColumn id="6" name="暴露规则"/>
    <tableColumn id="7" name="适用工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turnProtocol" displayName="ReturnProtocol" ref="A3:E13" headerRowCount="1">
  <autoFilter ref="A3:E13"/>
  <tableColumns count="5">
    <tableColumn id="1" name="分组"/>
    <tableColumn id="2" name="字段"/>
    <tableColumn id="3" name="类型"/>
    <tableColumn id="4" name="含义"/>
    <tableColumn id="5" name="使用规则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rrorCodes" displayName="ErrorCodes" ref="A3:F20" headerRowCount="1">
  <autoFilter ref="A3:F20"/>
  <tableColumns count="6">
    <tableColumn id="1" name="错误码"/>
    <tableColumn id="2" name="含义"/>
    <tableColumn id="3" name="可重试"/>
    <tableColumn id="4" name="产品处理"/>
    <tableColumn id="5" name="安全要求"/>
    <tableColumn id="6" name="风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ceneToolMap" displayName="SceneToolMap" ref="A3:J53" headerRowCount="1">
  <autoFilter ref="A3:J53"/>
  <tableColumns count="10">
    <tableColumn id="1" name="场景ID"/>
    <tableColumn id="2" name="一级域"/>
    <tableColumn id="3" name="二级场景"/>
    <tableColumn id="4" name="产品阶段"/>
    <tableColumn id="5" name="编排模式"/>
    <tableColumn id="6" name="推荐工具轨迹"/>
    <tableColumn id="7" name="身份要求"/>
    <tableColumn id="8" name="是否RAG"/>
    <tableColumn id="9" name="失败处理"/>
    <tableColumn id="10" name="写操作边界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olCallingTests" displayName="ToolCallingTests" ref="A3:G18" headerRowCount="1">
  <autoFilter ref="A3:G18"/>
  <tableColumns count="7">
    <tableColumn id="1" name="用例ID"/>
    <tableColumn id="2" name="工具"/>
    <tableColumn id="3" name="条件/输入"/>
    <tableColumn id="4" name="关键校验"/>
    <tableColumn id="5" name="预期结果"/>
    <tableColumn id="6" name="安全边界"/>
    <tableColumn id="7" name="风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Day 9｜会员 API 工具目录与 Tool Calling 规范</t>
        </is>
      </c>
    </row>
    <row r="2" ht="32" customHeight="1">
      <c r="A2" s="2" t="inlineStr">
        <is>
          <t>把现有会员系统能力包装为面向AI的窄工具：严格Schema、最小字段、本人权限、稳定原因码、可审计。</t>
        </is>
      </c>
    </row>
    <row r="4" ht="34" customHeight="1">
      <c r="A4" s="3" t="inlineStr">
        <is>
          <t>核心原则</t>
        </is>
      </c>
      <c r="B4" s="4" t="inlineStr">
        <is>
          <t>工具不是把内部API原样暴露给模型，而是面向业务任务重新定义的安全能力。</t>
        </is>
      </c>
    </row>
    <row r="5" ht="34" customHeight="1">
      <c r="A5" s="3" t="inlineStr">
        <is>
          <t>命名规范</t>
        </is>
      </c>
      <c r="B5" s="4" t="inlineStr">
        <is>
          <t>domain_action.verb，例如 points_balance.read、coupon_eligibility.check。一个工具只完成一个清晰动作。</t>
        </is>
      </c>
    </row>
    <row r="6" ht="34" customHeight="1">
      <c r="A6" s="3" t="inlineStr">
        <is>
          <t>身份参数</t>
        </is>
      </c>
      <c r="B6" s="4" t="inlineStr">
        <is>
          <t>member_token等安全参数由服务端注入，模型不可见、不可生成、不可覆盖。</t>
        </is>
      </c>
    </row>
    <row r="7" ht="34" customHeight="1">
      <c r="A7" s="3" t="inlineStr">
        <is>
          <t>写操作边界</t>
        </is>
      </c>
      <c r="B7" s="4" t="inlineStr">
        <is>
          <t>MVP只保留工单创建与人工接管两个受控写入，必须幂等；不开放资产补偿、退款、合并或删除。</t>
        </is>
      </c>
    </row>
    <row r="8" ht="34" customHeight="1">
      <c r="A8" s="3" t="inlineStr">
        <is>
          <t>错误处理</t>
        </is>
      </c>
      <c r="B8" s="4" t="inlineStr">
        <is>
          <t>所有工具返回稳定错误码；模型不能把超时、无记录、无权限和数据冲突混成一句“系统异常”。</t>
        </is>
      </c>
    </row>
    <row r="9" ht="34" customHeight="1">
      <c r="A9" s="3" t="inlineStr">
        <is>
          <t>使用方法</t>
        </is>
      </c>
      <c r="B9" s="4" t="inlineStr">
        <is>
          <t>工具目录→参数字典→返回协议→错误码→场景映射→调用用例。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4" customWidth="1" min="4" max="4"/>
    <col width="12" customWidth="1" min="5" max="5"/>
    <col width="46" customWidth="1" min="6" max="6"/>
    <col width="50" customWidth="1" min="7" max="7"/>
    <col width="40" customWidth="1" min="8" max="8"/>
    <col width="10" customWidth="1" min="9" max="9"/>
    <col width="10" customWidth="1" min="10" max="10"/>
    <col width="22" customWidth="1" min="11" max="11"/>
  </cols>
  <sheetData>
    <row r="1" ht="34" customHeight="1">
      <c r="A1" s="1" t="inlineStr">
        <is>
          <t>MVP会员AI客服工具目录</t>
        </is>
      </c>
    </row>
    <row r="2" ht="32" customHeight="1">
      <c r="A2" s="2" t="inlineStr">
        <is>
          <t>工具数量以完成首期场景的最小集合为准；删除未使用、功能过宽或权限过大的工具。</t>
        </is>
      </c>
    </row>
    <row r="3" ht="30" customHeight="1">
      <c r="A3" s="5" t="inlineStr">
        <is>
          <t>工具名称</t>
        </is>
      </c>
      <c r="B3" s="5" t="inlineStr">
        <is>
          <t>领域</t>
        </is>
      </c>
      <c r="C3" s="5" t="inlineStr">
        <is>
          <t>业务用途</t>
        </is>
      </c>
      <c r="D3" s="5" t="inlineStr">
        <is>
          <t>类型</t>
        </is>
      </c>
      <c r="E3" s="5" t="inlineStr">
        <is>
          <t>最低身份</t>
        </is>
      </c>
      <c r="F3" s="5" t="inlineStr">
        <is>
          <t>输入参数摘要</t>
        </is>
      </c>
      <c r="G3" s="5" t="inlineStr">
        <is>
          <t>返回字段摘要</t>
        </is>
      </c>
      <c r="H3" s="5" t="inlineStr">
        <is>
          <t>主要错误码</t>
        </is>
      </c>
      <c r="I3" s="5" t="inlineStr">
        <is>
          <t>可匿名</t>
        </is>
      </c>
      <c r="J3" s="5" t="inlineStr">
        <is>
          <t>风险级别</t>
        </is>
      </c>
      <c r="K3" s="5" t="inlineStr">
        <is>
          <t>负责人/事实源</t>
        </is>
      </c>
    </row>
    <row r="4">
      <c r="A4" s="6" t="inlineStr">
        <is>
          <t>member_context.get</t>
        </is>
      </c>
      <c r="B4" s="6" t="inlineStr">
        <is>
          <t>身份上下文</t>
        </is>
      </c>
      <c r="C4" s="6" t="inlineStr">
        <is>
          <t>获取当前认证会员的最小上下文</t>
        </is>
      </c>
      <c r="D4" s="6" t="inlineStr">
        <is>
          <t>只读</t>
        </is>
      </c>
      <c r="E4" s="6" t="inlineStr">
        <is>
          <t>L1</t>
        </is>
      </c>
      <c r="F4" s="6" t="inlineStr">
        <is>
          <t>session_id(系统注入)</t>
        </is>
      </c>
      <c r="G4" s="6" t="inlineStr">
        <is>
          <t>member_ref, market, language, auth_level</t>
        </is>
      </c>
      <c r="H4" s="6" t="inlineStr">
        <is>
          <t>AUTH_EXPIRED, CONTEXT_NOT_FOUND</t>
        </is>
      </c>
      <c r="I4" s="6" t="inlineStr">
        <is>
          <t>否</t>
        </is>
      </c>
      <c r="J4" s="6" t="inlineStr">
        <is>
          <t>P0</t>
        </is>
      </c>
      <c r="K4" s="6" t="inlineStr">
        <is>
          <t>认证/会员中台</t>
        </is>
      </c>
    </row>
    <row r="5">
      <c r="A5" s="7" t="inlineStr">
        <is>
          <t>points_balance.read</t>
        </is>
      </c>
      <c r="B5" s="7" t="inlineStr">
        <is>
          <t>积分</t>
        </is>
      </c>
      <c r="C5" s="7" t="inlineStr">
        <is>
          <t>查询本人积分余额、冻结及近期过期摘要</t>
        </is>
      </c>
      <c r="D5" s="7" t="inlineStr">
        <is>
          <t>只读</t>
        </is>
      </c>
      <c r="E5" s="7" t="inlineStr">
        <is>
          <t>L2</t>
        </is>
      </c>
      <c r="F5" s="7" t="inlineStr">
        <is>
          <t>member_token(系统), market</t>
        </is>
      </c>
      <c r="G5" s="7" t="inlineStr">
        <is>
          <t>available_points, frozen_points, expiring_points, expiry_date, queried_at</t>
        </is>
      </c>
      <c r="H5" s="7" t="inlineStr">
        <is>
          <t>AUTH_EXPIRED, FORBIDDEN, TIMEOUT, DATA_CONFLICT</t>
        </is>
      </c>
      <c r="I5" s="7" t="inlineStr">
        <is>
          <t>否</t>
        </is>
      </c>
      <c r="J5" s="7" t="inlineStr">
        <is>
          <t>P0</t>
        </is>
      </c>
      <c r="K5" s="7" t="inlineStr">
        <is>
          <t>积分账户服务</t>
        </is>
      </c>
    </row>
    <row r="6">
      <c r="A6" s="6" t="inlineStr">
        <is>
          <t>points_ledger.search</t>
        </is>
      </c>
      <c r="B6" s="6" t="inlineStr">
        <is>
          <t>积分</t>
        </is>
      </c>
      <c r="C6" s="6" t="inlineStr">
        <is>
          <t>查询本人积分流水摘要</t>
        </is>
      </c>
      <c r="D6" s="6" t="inlineStr">
        <is>
          <t>只读</t>
        </is>
      </c>
      <c r="E6" s="6" t="inlineStr">
        <is>
          <t>L2</t>
        </is>
      </c>
      <c r="F6" s="6" t="inlineStr">
        <is>
          <t>member_token(系统), date_from?, date_to?, order_ref?</t>
        </is>
      </c>
      <c r="G6" s="6" t="inlineStr">
        <is>
          <t>entries[], next_cursor, queried_at</t>
        </is>
      </c>
      <c r="H6" s="6" t="inlineStr">
        <is>
          <t>INVALID_RANGE, FORBIDDEN, TIMEOUT</t>
        </is>
      </c>
      <c r="I6" s="6" t="inlineStr">
        <is>
          <t>否</t>
        </is>
      </c>
      <c r="J6" s="6" t="inlineStr">
        <is>
          <t>P0</t>
        </is>
      </c>
      <c r="K6" s="6" t="inlineStr">
        <is>
          <t>积分账户服务</t>
        </is>
      </c>
    </row>
    <row r="7">
      <c r="A7" s="7" t="inlineStr">
        <is>
          <t>tier_status.read</t>
        </is>
      </c>
      <c r="B7" s="7" t="inlineStr">
        <is>
          <t>等级</t>
        </is>
      </c>
      <c r="C7" s="7" t="inlineStr">
        <is>
          <t>查询会员等级、成长值和下一等级差距</t>
        </is>
      </c>
      <c r="D7" s="7" t="inlineStr">
        <is>
          <t>只读</t>
        </is>
      </c>
      <c r="E7" s="7" t="inlineStr">
        <is>
          <t>L2</t>
        </is>
      </c>
      <c r="F7" s="7" t="inlineStr">
        <is>
          <t>member_token(系统), market</t>
        </is>
      </c>
      <c r="G7" s="7" t="inlineStr">
        <is>
          <t>tier, growth_value, next_tier, gap, evaluated_at</t>
        </is>
      </c>
      <c r="H7" s="7" t="inlineStr">
        <is>
          <t>RULE_VERSION_MISSING, TIMEOUT</t>
        </is>
      </c>
      <c r="I7" s="7" t="inlineStr">
        <is>
          <t>否</t>
        </is>
      </c>
      <c r="J7" s="7" t="inlineStr">
        <is>
          <t>P0</t>
        </is>
      </c>
      <c r="K7" s="7" t="inlineStr">
        <is>
          <t>会员等级服务</t>
        </is>
      </c>
    </row>
    <row r="8">
      <c r="A8" s="6" t="inlineStr">
        <is>
          <t>benefits_list.read</t>
        </is>
      </c>
      <c r="B8" s="6" t="inlineStr">
        <is>
          <t>权益</t>
        </is>
      </c>
      <c r="C8" s="6" t="inlineStr">
        <is>
          <t>查询本人可用/已用/过期权益摘要</t>
        </is>
      </c>
      <c r="D8" s="6" t="inlineStr">
        <is>
          <t>只读</t>
        </is>
      </c>
      <c r="E8" s="6" t="inlineStr">
        <is>
          <t>L2</t>
        </is>
      </c>
      <c r="F8" s="6" t="inlineStr">
        <is>
          <t>member_token(系统), status?, type?</t>
        </is>
      </c>
      <c r="G8" s="6" t="inlineStr">
        <is>
          <t>benefits[], queried_at</t>
        </is>
      </c>
      <c r="H8" s="6" t="inlineStr">
        <is>
          <t>FORBIDDEN, TIMEOUT</t>
        </is>
      </c>
      <c r="I8" s="6" t="inlineStr">
        <is>
          <t>否</t>
        </is>
      </c>
      <c r="J8" s="6" t="inlineStr">
        <is>
          <t>P1</t>
        </is>
      </c>
      <c r="K8" s="6" t="inlineStr">
        <is>
          <t>权益账户服务</t>
        </is>
      </c>
    </row>
    <row r="9">
      <c r="A9" s="7" t="inlineStr">
        <is>
          <t>benefit_detail.read</t>
        </is>
      </c>
      <c r="B9" s="7" t="inlineStr">
        <is>
          <t>权益</t>
        </is>
      </c>
      <c r="C9" s="7" t="inlineStr">
        <is>
          <t>查询指定本人权益详情与核销状态</t>
        </is>
      </c>
      <c r="D9" s="7" t="inlineStr">
        <is>
          <t>只读</t>
        </is>
      </c>
      <c r="E9" s="7" t="inlineStr">
        <is>
          <t>L2</t>
        </is>
      </c>
      <c r="F9" s="7" t="inlineStr">
        <is>
          <t>member_token(系统), benefit_ref</t>
        </is>
      </c>
      <c r="G9" s="7" t="inlineStr">
        <is>
          <t>status, valid_period, channel_scope, redemption_summary</t>
        </is>
      </c>
      <c r="H9" s="7" t="inlineStr">
        <is>
          <t>NOT_FOUND, NOT_OWNED, TIMEOUT</t>
        </is>
      </c>
      <c r="I9" s="7" t="inlineStr">
        <is>
          <t>否</t>
        </is>
      </c>
      <c r="J9" s="7" t="inlineStr">
        <is>
          <t>P0</t>
        </is>
      </c>
      <c r="K9" s="7" t="inlineStr">
        <is>
          <t>权益账户服务</t>
        </is>
      </c>
    </row>
    <row r="10">
      <c r="A10" s="6" t="inlineStr">
        <is>
          <t>coupon_list.read</t>
        </is>
      </c>
      <c r="B10" s="6" t="inlineStr">
        <is>
          <t>优惠券</t>
        </is>
      </c>
      <c r="C10" s="6" t="inlineStr">
        <is>
          <t>查询本人优惠券列表摘要</t>
        </is>
      </c>
      <c r="D10" s="6" t="inlineStr">
        <is>
          <t>只读</t>
        </is>
      </c>
      <c r="E10" s="6" t="inlineStr">
        <is>
          <t>L2</t>
        </is>
      </c>
      <c r="F10" s="6" t="inlineStr">
        <is>
          <t>member_token(系统), status?, channel?</t>
        </is>
      </c>
      <c r="G10" s="6" t="inlineStr">
        <is>
          <t>coupons[], queried_at</t>
        </is>
      </c>
      <c r="H10" s="6" t="inlineStr">
        <is>
          <t>FORBIDDEN, TIMEOUT</t>
        </is>
      </c>
      <c r="I10" s="6" t="inlineStr">
        <is>
          <t>否</t>
        </is>
      </c>
      <c r="J10" s="6" t="inlineStr">
        <is>
          <t>P0</t>
        </is>
      </c>
      <c r="K10" s="6" t="inlineStr">
        <is>
          <t>券中心</t>
        </is>
      </c>
    </row>
    <row r="11">
      <c r="A11" s="7" t="inlineStr">
        <is>
          <t>coupon_detail.read</t>
        </is>
      </c>
      <c r="B11" s="7" t="inlineStr">
        <is>
          <t>优惠券</t>
        </is>
      </c>
      <c r="C11" s="7" t="inlineStr">
        <is>
          <t>查询本人指定优惠券详情</t>
        </is>
      </c>
      <c r="D11" s="7" t="inlineStr">
        <is>
          <t>只读</t>
        </is>
      </c>
      <c r="E11" s="7" t="inlineStr">
        <is>
          <t>L2</t>
        </is>
      </c>
      <c r="F11" s="7" t="inlineStr">
        <is>
          <t>member_token(系统), coupon_ref</t>
        </is>
      </c>
      <c r="G11" s="7" t="inlineStr">
        <is>
          <t>status, valid_period, threshold, scope, exclusion_summary</t>
        </is>
      </c>
      <c r="H11" s="7" t="inlineStr">
        <is>
          <t>NOT_FOUND, NOT_OWNED, TIMEOUT</t>
        </is>
      </c>
      <c r="I11" s="7" t="inlineStr">
        <is>
          <t>否</t>
        </is>
      </c>
      <c r="J11" s="7" t="inlineStr">
        <is>
          <t>P0</t>
        </is>
      </c>
      <c r="K11" s="7" t="inlineStr">
        <is>
          <t>券中心</t>
        </is>
      </c>
    </row>
    <row r="12">
      <c r="A12" s="6" t="inlineStr">
        <is>
          <t>coupon_eligibility.check</t>
        </is>
      </c>
      <c r="B12" s="6" t="inlineStr">
        <is>
          <t>优惠券</t>
        </is>
      </c>
      <c r="C12" s="6" t="inlineStr">
        <is>
          <t>校验某券对当前订单/渠道的使用资格并返回原因码</t>
        </is>
      </c>
      <c r="D12" s="6" t="inlineStr">
        <is>
          <t>只读判断</t>
        </is>
      </c>
      <c r="E12" s="6" t="inlineStr">
        <is>
          <t>L2</t>
        </is>
      </c>
      <c r="F12" s="6" t="inlineStr">
        <is>
          <t>member_token(系统), coupon_ref, order_ref?, channel, store_ref?</t>
        </is>
      </c>
      <c r="G12" s="6" t="inlineStr">
        <is>
          <t>eligible, reason_code, failed_conditions[], checked_at</t>
        </is>
      </c>
      <c r="H12" s="6" t="inlineStr">
        <is>
          <t>ORDER_NOT_FOUND, NOT_OWNED, RULE_UNAVAILABLE, TIMEOUT</t>
        </is>
      </c>
      <c r="I12" s="6" t="inlineStr">
        <is>
          <t>否</t>
        </is>
      </c>
      <c r="J12" s="6" t="inlineStr">
        <is>
          <t>P0</t>
        </is>
      </c>
      <c r="K12" s="6" t="inlineStr">
        <is>
          <t>券中心</t>
        </is>
      </c>
    </row>
    <row r="13">
      <c r="A13" s="7" t="inlineStr">
        <is>
          <t>order_summary.read</t>
        </is>
      </c>
      <c r="B13" s="7" t="inlineStr">
        <is>
          <t>订单</t>
        </is>
      </c>
      <c r="C13" s="7" t="inlineStr">
        <is>
          <t>查询本人指定或近期订单摘要</t>
        </is>
      </c>
      <c r="D13" s="7" t="inlineStr">
        <is>
          <t>只读</t>
        </is>
      </c>
      <c r="E13" s="7" t="inlineStr">
        <is>
          <t>L2</t>
        </is>
      </c>
      <c r="F13" s="7" t="inlineStr">
        <is>
          <t>member_token(系统), order_ref? / recent_limit?</t>
        </is>
      </c>
      <c r="G13" s="7" t="inlineStr">
        <is>
          <t>order_ref, channel, store, paid_at, amount_band, status, refund_status</t>
        </is>
      </c>
      <c r="H13" s="7" t="inlineStr">
        <is>
          <t>NOT_FOUND, NOT_OWNED, TIMEOUT</t>
        </is>
      </c>
      <c r="I13" s="7" t="inlineStr">
        <is>
          <t>否</t>
        </is>
      </c>
      <c r="J13" s="7" t="inlineStr">
        <is>
          <t>P0</t>
        </is>
      </c>
      <c r="K13" s="7" t="inlineStr">
        <is>
          <t>订单服务</t>
        </is>
      </c>
    </row>
    <row r="14">
      <c r="A14" s="6" t="inlineStr">
        <is>
          <t>order_points_eligibility.check</t>
        </is>
      </c>
      <c r="B14" s="6" t="inlineStr">
        <is>
          <t>订单积分</t>
        </is>
      </c>
      <c r="C14" s="6" t="inlineStr">
        <is>
          <t>判断订单是否应计积分及当前发放状态</t>
        </is>
      </c>
      <c r="D14" s="6" t="inlineStr">
        <is>
          <t>只读判断</t>
        </is>
      </c>
      <c r="E14" s="6" t="inlineStr">
        <is>
          <t>L2</t>
        </is>
      </c>
      <c r="F14" s="6" t="inlineStr">
        <is>
          <t>member_token(系统), order_ref</t>
        </is>
      </c>
      <c r="G14" s="6" t="inlineStr">
        <is>
          <t>eligible, expected_points, issuance_status, expected_time, reason_code</t>
        </is>
      </c>
      <c r="H14" s="6" t="inlineStr">
        <is>
          <t>ORDER_NOT_FOUND, RULE_UNAVAILABLE, DATA_CONFLICT</t>
        </is>
      </c>
      <c r="I14" s="6" t="inlineStr">
        <is>
          <t>否</t>
        </is>
      </c>
      <c r="J14" s="6" t="inlineStr">
        <is>
          <t>P0</t>
        </is>
      </c>
      <c r="K14" s="6" t="inlineStr">
        <is>
          <t>积分规则/订单服务</t>
        </is>
      </c>
    </row>
    <row r="15">
      <c r="A15" s="7" t="inlineStr">
        <is>
          <t>activity_participation.read</t>
        </is>
      </c>
      <c r="B15" s="7" t="inlineStr">
        <is>
          <t>活动</t>
        </is>
      </c>
      <c r="C15" s="7" t="inlineStr">
        <is>
          <t>查询本人活动参与/奖励状态摘要</t>
        </is>
      </c>
      <c r="D15" s="7" t="inlineStr">
        <is>
          <t>只读</t>
        </is>
      </c>
      <c r="E15" s="7" t="inlineStr">
        <is>
          <t>L2</t>
        </is>
      </c>
      <c r="F15" s="7" t="inlineStr">
        <is>
          <t>member_token(系统), activity_ref</t>
        </is>
      </c>
      <c r="G15" s="7" t="inlineStr">
        <is>
          <t>joined, task_status, reward_status, reason_code</t>
        </is>
      </c>
      <c r="H15" s="7" t="inlineStr">
        <is>
          <t>NOT_FOUND, NOT_OWNED, TIMEOUT</t>
        </is>
      </c>
      <c r="I15" s="7" t="inlineStr">
        <is>
          <t>否</t>
        </is>
      </c>
      <c r="J15" s="7" t="inlineStr">
        <is>
          <t>P1</t>
        </is>
      </c>
      <c r="K15" s="7" t="inlineStr">
        <is>
          <t>活动平台</t>
        </is>
      </c>
    </row>
    <row r="16">
      <c r="A16" s="6" t="inlineStr">
        <is>
          <t>store_search.search</t>
        </is>
      </c>
      <c r="B16" s="6" t="inlineStr">
        <is>
          <t>门店</t>
        </is>
      </c>
      <c r="C16" s="6" t="inlineStr">
        <is>
          <t>搜索公开门店、营业状态和服务能力</t>
        </is>
      </c>
      <c r="D16" s="6" t="inlineStr">
        <is>
          <t>公开只读</t>
        </is>
      </c>
      <c r="E16" s="6" t="inlineStr">
        <is>
          <t>L0</t>
        </is>
      </c>
      <c r="F16" s="6" t="inlineStr">
        <is>
          <t>market, city?, geo?, capability?</t>
        </is>
      </c>
      <c r="G16" s="6" t="inlineStr">
        <is>
          <t>stores[], updated_at</t>
        </is>
      </c>
      <c r="H16" s="6" t="inlineStr">
        <is>
          <t>INVALID_MARKET, TIMEOUT</t>
        </is>
      </c>
      <c r="I16" s="6" t="inlineStr">
        <is>
          <t>是</t>
        </is>
      </c>
      <c r="J16" s="6" t="inlineStr">
        <is>
          <t>P1</t>
        </is>
      </c>
      <c r="K16" s="6" t="inlineStr">
        <is>
          <t>门店主数据</t>
        </is>
      </c>
    </row>
    <row r="17">
      <c r="A17" s="7" t="inlineStr">
        <is>
          <t>knowledge_search.search</t>
        </is>
      </c>
      <c r="B17" s="7" t="inlineStr">
        <is>
          <t>知识检索</t>
        </is>
      </c>
      <c r="C17" s="7" t="inlineStr">
        <is>
          <t>按市场、语言、品牌、业务线和时间检索有效规则</t>
        </is>
      </c>
      <c r="D17" s="7" t="inlineStr">
        <is>
          <t>只读检索</t>
        </is>
      </c>
      <c r="E17" s="7" t="inlineStr">
        <is>
          <t>L0/L2</t>
        </is>
      </c>
      <c r="F17" s="7" t="inlineStr">
        <is>
          <t>query, market, language, brand?, business_line?, effective_at</t>
        </is>
      </c>
      <c r="G17" s="7" t="inlineStr">
        <is>
          <t>documents[], citations[], confidence, conflict_flag</t>
        </is>
      </c>
      <c r="H17" s="7" t="inlineStr">
        <is>
          <t>NO_EVIDENCE, VERSION_CONFLICT, TIMEOUT</t>
        </is>
      </c>
      <c r="I17" s="7" t="inlineStr">
        <is>
          <t>是</t>
        </is>
      </c>
      <c r="J17" s="7" t="inlineStr">
        <is>
          <t>P0</t>
        </is>
      </c>
      <c r="K17" s="7" t="inlineStr">
        <is>
          <t>知识平台</t>
        </is>
      </c>
    </row>
    <row r="18">
      <c r="A18" s="6" t="inlineStr">
        <is>
          <t>case_create.create</t>
        </is>
      </c>
      <c r="B18" s="6" t="inlineStr">
        <is>
          <t>工单</t>
        </is>
      </c>
      <c r="C18" s="6" t="inlineStr">
        <is>
          <t>创建受控人工处理工单</t>
        </is>
      </c>
      <c r="D18" s="6" t="inlineStr">
        <is>
          <t>受控写入</t>
        </is>
      </c>
      <c r="E18" s="6" t="inlineStr">
        <is>
          <t>L2/L3</t>
        </is>
      </c>
      <c r="F18" s="6" t="inlineStr">
        <is>
          <t>member_token(系统), queue, reason_code, summary, evidence_refs[], idempotency_key</t>
        </is>
      </c>
      <c r="G18" s="6" t="inlineStr">
        <is>
          <t>case_ref, queue, status, created_at</t>
        </is>
      </c>
      <c r="H18" s="6" t="inlineStr">
        <is>
          <t>DUPLICATE, INVALID_QUEUE, AUTH_REQUIRED, TIMEOUT</t>
        </is>
      </c>
      <c r="I18" s="6" t="inlineStr">
        <is>
          <t>否</t>
        </is>
      </c>
      <c r="J18" s="6" t="inlineStr">
        <is>
          <t>P0</t>
        </is>
      </c>
      <c r="K18" s="6" t="inlineStr">
        <is>
          <t>客服工单系统</t>
        </is>
      </c>
    </row>
    <row r="19">
      <c r="A19" s="7" t="inlineStr">
        <is>
          <t>case_status.read</t>
        </is>
      </c>
      <c r="B19" s="7" t="inlineStr">
        <is>
          <t>工单</t>
        </is>
      </c>
      <c r="C19" s="7" t="inlineStr">
        <is>
          <t>查询本人工单状态摘要</t>
        </is>
      </c>
      <c r="D19" s="7" t="inlineStr">
        <is>
          <t>只读</t>
        </is>
      </c>
      <c r="E19" s="7" t="inlineStr">
        <is>
          <t>L2</t>
        </is>
      </c>
      <c r="F19" s="7" t="inlineStr">
        <is>
          <t>member_token(系统), case_ref</t>
        </is>
      </c>
      <c r="G19" s="7" t="inlineStr">
        <is>
          <t>status, updated_at, public_message</t>
        </is>
      </c>
      <c r="H19" s="7" t="inlineStr">
        <is>
          <t>NOT_FOUND, NOT_OWNED, TIMEOUT</t>
        </is>
      </c>
      <c r="I19" s="7" t="inlineStr">
        <is>
          <t>否</t>
        </is>
      </c>
      <c r="J19" s="7" t="inlineStr">
        <is>
          <t>P1</t>
        </is>
      </c>
      <c r="K19" s="7" t="inlineStr">
        <is>
          <t>客服工单系统</t>
        </is>
      </c>
    </row>
    <row r="20">
      <c r="A20" s="6" t="inlineStr">
        <is>
          <t>human_handoff.create</t>
        </is>
      </c>
      <c r="B20" s="6" t="inlineStr">
        <is>
          <t>人工接管</t>
        </is>
      </c>
      <c r="C20" s="6" t="inlineStr">
        <is>
          <t>将会话转入人工队列并携带结构化上下文</t>
        </is>
      </c>
      <c r="D20" s="6" t="inlineStr">
        <is>
          <t>受控写入</t>
        </is>
      </c>
      <c r="E20" s="6" t="inlineStr">
        <is>
          <t>L1/L2/L3</t>
        </is>
      </c>
      <c r="F20" s="6" t="inlineStr">
        <is>
          <t>queue, reason_code, conversation_summary, confirmed_facts[], failed_steps[], idempotency_key</t>
        </is>
      </c>
      <c r="G20" s="6" t="inlineStr">
        <is>
          <t>handoff_ref, queue, estimated_state</t>
        </is>
      </c>
      <c r="H20" s="6" t="inlineStr">
        <is>
          <t>INVALID_QUEUE, DUPLICATE, TIMEOUT</t>
        </is>
      </c>
      <c r="I20" s="6" t="inlineStr">
        <is>
          <t>是</t>
        </is>
      </c>
      <c r="J20" s="6" t="inlineStr">
        <is>
          <t>P0</t>
        </is>
      </c>
      <c r="K20" s="6" t="inlineStr">
        <is>
          <t>客服会话平台</t>
        </is>
      </c>
    </row>
    <row r="21">
      <c r="A21" s="7" t="inlineStr">
        <is>
          <t>page_navigation.build</t>
        </is>
      </c>
      <c r="B21" s="7" t="inlineStr">
        <is>
          <t>页面导航</t>
        </is>
      </c>
      <c r="C21" s="7" t="inlineStr">
        <is>
          <t>生成App/H5内部安全页面跳转</t>
        </is>
      </c>
      <c r="D21" s="7" t="inlineStr">
        <is>
          <t>导航</t>
        </is>
      </c>
      <c r="E21" s="7" t="inlineStr">
        <is>
          <t>L0/L2</t>
        </is>
      </c>
      <c r="F21" s="7" t="inlineStr">
        <is>
          <t>target_enum, object_ref?</t>
        </is>
      </c>
      <c r="G21" s="7" t="inlineStr">
        <is>
          <t>deeplink, expires_at</t>
        </is>
      </c>
      <c r="H21" s="7" t="inlineStr">
        <is>
          <t>TARGET_NOT_ALLOWED, OBJECT_INVALID</t>
        </is>
      </c>
      <c r="I21" s="7" t="inlineStr">
        <is>
          <t>是</t>
        </is>
      </c>
      <c r="J21" s="7" t="inlineStr">
        <is>
          <t>P1</t>
        </is>
      </c>
      <c r="K21" s="7" t="inlineStr">
        <is>
          <t>App/H5路由服务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2" customWidth="1" min="4" max="4"/>
    <col width="52" customWidth="1" min="5" max="5"/>
    <col width="24" customWidth="1" min="6" max="6"/>
    <col width="30" customWidth="1" min="7" max="7"/>
  </cols>
  <sheetData>
    <row r="1" ht="34" customHeight="1">
      <c r="A1" s="1" t="inlineStr">
        <is>
          <t>工具参数字典</t>
        </is>
      </c>
    </row>
    <row r="2" ht="32" customHeight="1">
      <c r="A2" s="2" t="inlineStr">
        <is>
          <t>每个参数必须明确来源、校验方式和是否允许进入模型。系统安全参数与用户业务参数不可混用。</t>
        </is>
      </c>
    </row>
    <row r="3" ht="30" customHeight="1">
      <c r="A3" s="5" t="inlineStr">
        <is>
          <t>参数名</t>
        </is>
      </c>
      <c r="B3" s="5" t="inlineStr">
        <is>
          <t>参数分类</t>
        </is>
      </c>
      <c r="C3" s="5" t="inlineStr">
        <is>
          <t>类型</t>
        </is>
      </c>
      <c r="D3" s="5" t="inlineStr">
        <is>
          <t>是否必填</t>
        </is>
      </c>
      <c r="E3" s="5" t="inlineStr">
        <is>
          <t>来源与校验</t>
        </is>
      </c>
      <c r="F3" s="5" t="inlineStr">
        <is>
          <t>暴露规则</t>
        </is>
      </c>
      <c r="G3" s="5" t="inlineStr">
        <is>
          <t>适用工具</t>
        </is>
      </c>
    </row>
    <row r="4">
      <c r="A4" s="6" t="inlineStr">
        <is>
          <t>member_token</t>
        </is>
      </c>
      <c r="B4" s="6" t="inlineStr">
        <is>
          <t>系统安全参数</t>
        </is>
      </c>
      <c r="C4" s="6" t="inlineStr">
        <is>
          <t>string</t>
        </is>
      </c>
      <c r="D4" s="6" t="inlineStr">
        <is>
          <t>是</t>
        </is>
      </c>
      <c r="E4" s="6" t="inlineStr">
        <is>
          <t>认证系统注入；模型不可见/不可传</t>
        </is>
      </c>
      <c r="F4" s="6" t="inlineStr">
        <is>
          <t>不进入模型/日志</t>
        </is>
      </c>
      <c r="G4" s="6" t="inlineStr">
        <is>
          <t>所有个人资产工具</t>
        </is>
      </c>
    </row>
    <row r="5">
      <c r="A5" s="7" t="inlineStr">
        <is>
          <t>market</t>
        </is>
      </c>
      <c r="B5" s="7" t="inlineStr">
        <is>
          <t>上下文</t>
        </is>
      </c>
      <c r="C5" s="7" t="inlineStr">
        <is>
          <t>enum</t>
        </is>
      </c>
      <c r="D5" s="7" t="inlineStr">
        <is>
          <t>是</t>
        </is>
      </c>
      <c r="E5" s="7" t="inlineStr">
        <is>
          <t>由会员主体/入口确定，用户切换需确认</t>
        </is>
      </c>
      <c r="F5" s="7" t="inlineStr">
        <is>
          <t>可进入模型</t>
        </is>
      </c>
      <c r="G5" s="7" t="inlineStr">
        <is>
          <t>规则/资产工具</t>
        </is>
      </c>
    </row>
    <row r="6">
      <c r="A6" s="6" t="inlineStr">
        <is>
          <t>language</t>
        </is>
      </c>
      <c r="B6" s="6" t="inlineStr">
        <is>
          <t>上下文</t>
        </is>
      </c>
      <c r="C6" s="6" t="inlineStr">
        <is>
          <t>enum</t>
        </is>
      </c>
      <c r="D6" s="6" t="inlineStr">
        <is>
          <t>是</t>
        </is>
      </c>
      <c r="E6" s="6" t="inlineStr">
        <is>
          <t>入口语言+用户选择；不等同market</t>
        </is>
      </c>
      <c r="F6" s="6" t="inlineStr">
        <is>
          <t>可进入模型</t>
        </is>
      </c>
      <c r="G6" s="6" t="inlineStr">
        <is>
          <t>knowledge_search</t>
        </is>
      </c>
    </row>
    <row r="7">
      <c r="A7" s="7" t="inlineStr">
        <is>
          <t>member_ref</t>
        </is>
      </c>
      <c r="B7" s="7" t="inlineStr">
        <is>
          <t>展示引用</t>
        </is>
      </c>
      <c r="C7" s="7" t="inlineStr">
        <is>
          <t>string</t>
        </is>
      </c>
      <c r="D7" s="7" t="inlineStr">
        <is>
          <t>否</t>
        </is>
      </c>
      <c r="E7" s="7" t="inlineStr">
        <is>
          <t>系统生成短引用，不是原始会员ID</t>
        </is>
      </c>
      <c r="F7" s="7" t="inlineStr">
        <is>
          <t>掩码/短引用</t>
        </is>
      </c>
      <c r="G7" s="7" t="inlineStr">
        <is>
          <t>回答与审计</t>
        </is>
      </c>
    </row>
    <row r="8">
      <c r="A8" s="6" t="inlineStr">
        <is>
          <t>order_ref</t>
        </is>
      </c>
      <c r="B8" s="6" t="inlineStr">
        <is>
          <t>对象引用</t>
        </is>
      </c>
      <c r="C8" s="6" t="inlineStr">
        <is>
          <t>string</t>
        </is>
      </c>
      <c r="D8" s="6" t="inlineStr">
        <is>
          <t>按场景</t>
        </is>
      </c>
      <c r="E8" s="6" t="inlineStr">
        <is>
          <t>来自本人订单选择器或用户输入后服务端归属校验</t>
        </is>
      </c>
      <c r="F8" s="6" t="inlineStr">
        <is>
          <t>短引用</t>
        </is>
      </c>
      <c r="G8" s="6" t="inlineStr">
        <is>
          <t>订单/积分</t>
        </is>
      </c>
    </row>
    <row r="9">
      <c r="A9" s="7" t="inlineStr">
        <is>
          <t>coupon_ref</t>
        </is>
      </c>
      <c r="B9" s="7" t="inlineStr">
        <is>
          <t>对象引用</t>
        </is>
      </c>
      <c r="C9" s="7" t="inlineStr">
        <is>
          <t>string</t>
        </is>
      </c>
      <c r="D9" s="7" t="inlineStr">
        <is>
          <t>按场景</t>
        </is>
      </c>
      <c r="E9" s="7" t="inlineStr">
        <is>
          <t>来自本人券列表选择器或归属校验</t>
        </is>
      </c>
      <c r="F9" s="7" t="inlineStr">
        <is>
          <t>短引用</t>
        </is>
      </c>
      <c r="G9" s="7" t="inlineStr">
        <is>
          <t>券工具</t>
        </is>
      </c>
    </row>
    <row r="10">
      <c r="A10" s="6" t="inlineStr">
        <is>
          <t>benefit_ref</t>
        </is>
      </c>
      <c r="B10" s="6" t="inlineStr">
        <is>
          <t>对象引用</t>
        </is>
      </c>
      <c r="C10" s="6" t="inlineStr">
        <is>
          <t>string</t>
        </is>
      </c>
      <c r="D10" s="6" t="inlineStr">
        <is>
          <t>按场景</t>
        </is>
      </c>
      <c r="E10" s="6" t="inlineStr">
        <is>
          <t>来自本人权益列表选择器或归属校验</t>
        </is>
      </c>
      <c r="F10" s="6" t="inlineStr">
        <is>
          <t>短引用</t>
        </is>
      </c>
      <c r="G10" s="6" t="inlineStr">
        <is>
          <t>权益工具</t>
        </is>
      </c>
    </row>
    <row r="11">
      <c r="A11" s="7" t="inlineStr">
        <is>
          <t>case_ref</t>
        </is>
      </c>
      <c r="B11" s="7" t="inlineStr">
        <is>
          <t>对象引用</t>
        </is>
      </c>
      <c r="C11" s="7" t="inlineStr">
        <is>
          <t>string</t>
        </is>
      </c>
      <c r="D11" s="7" t="inlineStr">
        <is>
          <t>按场景</t>
        </is>
      </c>
      <c r="E11" s="7" t="inlineStr">
        <is>
          <t>必须校验属于当前会员</t>
        </is>
      </c>
      <c r="F11" s="7" t="inlineStr">
        <is>
          <t>短引用</t>
        </is>
      </c>
      <c r="G11" s="7" t="inlineStr">
        <is>
          <t>工单查询</t>
        </is>
      </c>
    </row>
    <row r="12">
      <c r="A12" s="6" t="inlineStr">
        <is>
          <t>activity_ref</t>
        </is>
      </c>
      <c r="B12" s="6" t="inlineStr">
        <is>
          <t>对象引用</t>
        </is>
      </c>
      <c r="C12" s="6" t="inlineStr">
        <is>
          <t>string</t>
        </is>
      </c>
      <c r="D12" s="6" t="inlineStr">
        <is>
          <t>按场景</t>
        </is>
      </c>
      <c r="E12" s="6" t="inlineStr">
        <is>
          <t>活动公开标识+参与记录本人校验</t>
        </is>
      </c>
      <c r="F12" s="6" t="inlineStr">
        <is>
          <t>可进入模型</t>
        </is>
      </c>
      <c r="G12" s="6" t="inlineStr">
        <is>
          <t>活动工具</t>
        </is>
      </c>
    </row>
    <row r="13">
      <c r="A13" s="7" t="inlineStr">
        <is>
          <t>channel</t>
        </is>
      </c>
      <c r="B13" s="7" t="inlineStr">
        <is>
          <t>业务条件</t>
        </is>
      </c>
      <c r="C13" s="7" t="inlineStr">
        <is>
          <t>enum</t>
        </is>
      </c>
      <c r="D13" s="7" t="inlineStr">
        <is>
          <t>按场景</t>
        </is>
      </c>
      <c r="E13" s="7" t="inlineStr">
        <is>
          <t>app/h5/pos/ecommerce/theme_park等</t>
        </is>
      </c>
      <c r="F13" s="7" t="inlineStr">
        <is>
          <t>可进入模型</t>
        </is>
      </c>
      <c r="G13" s="7" t="inlineStr">
        <is>
          <t>券资格/规则</t>
        </is>
      </c>
    </row>
    <row r="14">
      <c r="A14" s="6" t="inlineStr">
        <is>
          <t>store_ref</t>
        </is>
      </c>
      <c r="B14" s="6" t="inlineStr">
        <is>
          <t>业务条件</t>
        </is>
      </c>
      <c r="C14" s="6" t="inlineStr">
        <is>
          <t>string</t>
        </is>
      </c>
      <c r="D14" s="6" t="inlineStr">
        <is>
          <t>否</t>
        </is>
      </c>
      <c r="E14" s="6" t="inlineStr">
        <is>
          <t>门店公开短引用</t>
        </is>
      </c>
      <c r="F14" s="6" t="inlineStr">
        <is>
          <t>可进入模型</t>
        </is>
      </c>
      <c r="G14" s="6" t="inlineStr">
        <is>
          <t>券/门店</t>
        </is>
      </c>
    </row>
    <row r="15">
      <c r="A15" s="7" t="inlineStr">
        <is>
          <t>date_from/date_to</t>
        </is>
      </c>
      <c r="B15" s="7" t="inlineStr">
        <is>
          <t>查询范围</t>
        </is>
      </c>
      <c r="C15" s="7" t="inlineStr">
        <is>
          <t>date</t>
        </is>
      </c>
      <c r="D15" s="7" t="inlineStr">
        <is>
          <t>否</t>
        </is>
      </c>
      <c r="E15" s="7" t="inlineStr">
        <is>
          <t>范围上限建议90天，from&lt;=to</t>
        </is>
      </c>
      <c r="F15" s="7" t="inlineStr">
        <is>
          <t>可进入模型</t>
        </is>
      </c>
      <c r="G15" s="7" t="inlineStr">
        <is>
          <t>流水查询</t>
        </is>
      </c>
    </row>
    <row r="16">
      <c r="A16" s="6" t="inlineStr">
        <is>
          <t>recent_limit</t>
        </is>
      </c>
      <c r="B16" s="6" t="inlineStr">
        <is>
          <t>查询控制</t>
        </is>
      </c>
      <c r="C16" s="6" t="inlineStr">
        <is>
          <t>integer</t>
        </is>
      </c>
      <c r="D16" s="6" t="inlineStr">
        <is>
          <t>否</t>
        </is>
      </c>
      <c r="E16" s="6" t="inlineStr">
        <is>
          <t>1—10，默认3，由系统限制</t>
        </is>
      </c>
      <c r="F16" s="6" t="inlineStr">
        <is>
          <t>不必展示</t>
        </is>
      </c>
      <c r="G16" s="6" t="inlineStr">
        <is>
          <t>订单摘要</t>
        </is>
      </c>
    </row>
    <row r="17">
      <c r="A17" s="7" t="inlineStr">
        <is>
          <t>status</t>
        </is>
      </c>
      <c r="B17" s="7" t="inlineStr">
        <is>
          <t>查询过滤</t>
        </is>
      </c>
      <c r="C17" s="7" t="inlineStr">
        <is>
          <t>enum</t>
        </is>
      </c>
      <c r="D17" s="7" t="inlineStr">
        <is>
          <t>否</t>
        </is>
      </c>
      <c r="E17" s="7" t="inlineStr">
        <is>
          <t>允许值白名单</t>
        </is>
      </c>
      <c r="F17" s="7" t="inlineStr">
        <is>
          <t>可进入模型</t>
        </is>
      </c>
      <c r="G17" s="7" t="inlineStr">
        <is>
          <t>券/权益</t>
        </is>
      </c>
    </row>
    <row r="18">
      <c r="A18" s="6" t="inlineStr">
        <is>
          <t>query</t>
        </is>
      </c>
      <c r="B18" s="6" t="inlineStr">
        <is>
          <t>检索问题</t>
        </is>
      </c>
      <c r="C18" s="6" t="inlineStr">
        <is>
          <t>string</t>
        </is>
      </c>
      <c r="D18" s="6" t="inlineStr">
        <is>
          <t>是</t>
        </is>
      </c>
      <c r="E18" s="6" t="inlineStr">
        <is>
          <t>去除敏感数据和指令，只保留业务问题</t>
        </is>
      </c>
      <c r="F18" s="6" t="inlineStr">
        <is>
          <t>可进入模型</t>
        </is>
      </c>
      <c r="G18" s="6" t="inlineStr">
        <is>
          <t>知识检索</t>
        </is>
      </c>
    </row>
    <row r="19">
      <c r="A19" s="7" t="inlineStr">
        <is>
          <t>effective_at</t>
        </is>
      </c>
      <c r="B19" s="7" t="inlineStr">
        <is>
          <t>时间过滤</t>
        </is>
      </c>
      <c r="C19" s="7" t="inlineStr">
        <is>
          <t>datetime</t>
        </is>
      </c>
      <c r="D19" s="7" t="inlineStr">
        <is>
          <t>是</t>
        </is>
      </c>
      <c r="E19" s="7" t="inlineStr">
        <is>
          <t>系统当前时间或业务发生时间</t>
        </is>
      </c>
      <c r="F19" s="7" t="inlineStr">
        <is>
          <t>可进入模型</t>
        </is>
      </c>
      <c r="G19" s="7" t="inlineStr">
        <is>
          <t>知识检索</t>
        </is>
      </c>
    </row>
    <row r="20">
      <c r="A20" s="6" t="inlineStr">
        <is>
          <t>reason_code</t>
        </is>
      </c>
      <c r="B20" s="6" t="inlineStr">
        <is>
          <t>流程原因</t>
        </is>
      </c>
      <c r="C20" s="6" t="inlineStr">
        <is>
          <t>enum</t>
        </is>
      </c>
      <c r="D20" s="6" t="inlineStr">
        <is>
          <t>是</t>
        </is>
      </c>
      <c r="E20" s="6" t="inlineStr">
        <is>
          <t>代码工作流生成，不接受自由文本</t>
        </is>
      </c>
      <c r="F20" s="6" t="inlineStr">
        <is>
          <t>可进入模型</t>
        </is>
      </c>
      <c r="G20" s="6" t="inlineStr">
        <is>
          <t>工单/转人工</t>
        </is>
      </c>
    </row>
    <row r="21">
      <c r="A21" s="7" t="inlineStr">
        <is>
          <t>summary</t>
        </is>
      </c>
      <c r="B21" s="7" t="inlineStr">
        <is>
          <t>人工摘要</t>
        </is>
      </c>
      <c r="C21" s="7" t="inlineStr">
        <is>
          <t>string</t>
        </is>
      </c>
      <c r="D21" s="7" t="inlineStr">
        <is>
          <t>是</t>
        </is>
      </c>
      <c r="E21" s="7" t="inlineStr">
        <is>
          <t>模型生成后代码脱敏和长度校验</t>
        </is>
      </c>
      <c r="F21" s="7" t="inlineStr">
        <is>
          <t>脱敏</t>
        </is>
      </c>
      <c r="G21" s="7" t="inlineStr">
        <is>
          <t>工单</t>
        </is>
      </c>
    </row>
    <row r="22">
      <c r="A22" s="6" t="inlineStr">
        <is>
          <t>evidence_refs</t>
        </is>
      </c>
      <c r="B22" s="6" t="inlineStr">
        <is>
          <t>证据引用</t>
        </is>
      </c>
      <c r="C22" s="6" t="inlineStr">
        <is>
          <t>array&lt;string&gt;</t>
        </is>
      </c>
      <c r="D22" s="6" t="inlineStr">
        <is>
          <t>否</t>
        </is>
      </c>
      <c r="E22" s="6" t="inlineStr">
        <is>
          <t>只传内部安全引用，不传完整敏感内容</t>
        </is>
      </c>
      <c r="F22" s="6" t="inlineStr">
        <is>
          <t>不展示原始ID</t>
        </is>
      </c>
      <c r="G22" s="6" t="inlineStr">
        <is>
          <t>工单</t>
        </is>
      </c>
    </row>
    <row r="23">
      <c r="A23" s="7" t="inlineStr">
        <is>
          <t>idempotency_key</t>
        </is>
      </c>
      <c r="B23" s="7" t="inlineStr">
        <is>
          <t>幂等</t>
        </is>
      </c>
      <c r="C23" s="7" t="inlineStr">
        <is>
          <t>string</t>
        </is>
      </c>
      <c r="D23" s="7" t="inlineStr">
        <is>
          <t>写工具必填</t>
        </is>
      </c>
      <c r="E23" s="7" t="inlineStr">
        <is>
          <t>服务端生成并绑定会话+动作</t>
        </is>
      </c>
      <c r="F23" s="7" t="inlineStr">
        <is>
          <t>不进入模型</t>
        </is>
      </c>
      <c r="G23" s="7" t="inlineStr">
        <is>
          <t>工单/转人工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42" customWidth="1" min="4" max="4"/>
    <col width="46" customWidth="1" min="5" max="5"/>
  </cols>
  <sheetData>
    <row r="1" ht="34" customHeight="1">
      <c r="A1" s="1" t="inlineStr">
        <is>
          <t>统一工具返回协议</t>
        </is>
      </c>
    </row>
    <row r="2" ht="32" customHeight="1">
      <c r="A2" s="2" t="inlineStr">
        <is>
          <t>模型看到的是稳定、最小、可验证的业务事实，不是下游系统的原始JSON。</t>
        </is>
      </c>
    </row>
    <row r="3" ht="30" customHeight="1">
      <c r="A3" s="5" t="inlineStr">
        <is>
          <t>分组</t>
        </is>
      </c>
      <c r="B3" s="5" t="inlineStr">
        <is>
          <t>字段</t>
        </is>
      </c>
      <c r="C3" s="5" t="inlineStr">
        <is>
          <t>类型</t>
        </is>
      </c>
      <c r="D3" s="5" t="inlineStr">
        <is>
          <t>含义</t>
        </is>
      </c>
      <c r="E3" s="5" t="inlineStr">
        <is>
          <t>使用规则</t>
        </is>
      </c>
    </row>
    <row r="4">
      <c r="A4" s="6" t="inlineStr">
        <is>
          <t>通用元信息</t>
        </is>
      </c>
      <c r="B4" s="6" t="inlineStr">
        <is>
          <t>trace_id</t>
        </is>
      </c>
      <c r="C4" s="6" t="inlineStr">
        <is>
          <t>string</t>
        </is>
      </c>
      <c r="D4" s="6" t="inlineStr">
        <is>
          <t>每次调用唯一追踪ID</t>
        </is>
      </c>
      <c r="E4" s="6" t="inlineStr">
        <is>
          <t>不展示给用户；用于链路定位</t>
        </is>
      </c>
    </row>
    <row r="5">
      <c r="A5" s="7" t="inlineStr">
        <is>
          <t>通用元信息</t>
        </is>
      </c>
      <c r="B5" s="7" t="inlineStr">
        <is>
          <t>tool_version</t>
        </is>
      </c>
      <c r="C5" s="7" t="inlineStr">
        <is>
          <t>string</t>
        </is>
      </c>
      <c r="D5" s="7" t="inlineStr">
        <is>
          <t>工具协议版本</t>
        </is>
      </c>
      <c r="E5" s="7" t="inlineStr">
        <is>
          <t>审计和回归</t>
        </is>
      </c>
    </row>
    <row r="6">
      <c r="A6" s="6" t="inlineStr">
        <is>
          <t>通用元信息</t>
        </is>
      </c>
      <c r="B6" s="6" t="inlineStr">
        <is>
          <t>queried_at</t>
        </is>
      </c>
      <c r="C6" s="6" t="inlineStr">
        <is>
          <t>datetime</t>
        </is>
      </c>
      <c r="D6" s="6" t="inlineStr">
        <is>
          <t>事实查询时间</t>
        </is>
      </c>
      <c r="E6" s="6" t="inlineStr">
        <is>
          <t>资产答案可展示为“截至xx”</t>
        </is>
      </c>
    </row>
    <row r="7">
      <c r="A7" s="7" t="inlineStr">
        <is>
          <t>通用状态</t>
        </is>
      </c>
      <c r="B7" s="7" t="inlineStr">
        <is>
          <t>success</t>
        </is>
      </c>
      <c r="C7" s="7" t="inlineStr">
        <is>
          <t>boolean</t>
        </is>
      </c>
      <c r="D7" s="7" t="inlineStr">
        <is>
          <t>调用是否成功</t>
        </is>
      </c>
      <c r="E7" s="7" t="inlineStr">
        <is>
          <t>不能仅靠HTTP 200判断业务成功</t>
        </is>
      </c>
    </row>
    <row r="8">
      <c r="A8" s="6" t="inlineStr">
        <is>
          <t>通用状态</t>
        </is>
      </c>
      <c r="B8" s="6" t="inlineStr">
        <is>
          <t>error_code</t>
        </is>
      </c>
      <c r="C8" s="6" t="inlineStr">
        <is>
          <t>enum|null</t>
        </is>
      </c>
      <c r="D8" s="6" t="inlineStr">
        <is>
          <t>稳定错误码</t>
        </is>
      </c>
      <c r="E8" s="6" t="inlineStr">
        <is>
          <t>模型按预设话术/流程处理</t>
        </is>
      </c>
    </row>
    <row r="9">
      <c r="A9" s="7" t="inlineStr">
        <is>
          <t>通用状态</t>
        </is>
      </c>
      <c r="B9" s="7" t="inlineStr">
        <is>
          <t>retryable</t>
        </is>
      </c>
      <c r="C9" s="7" t="inlineStr">
        <is>
          <t>boolean</t>
        </is>
      </c>
      <c r="D9" s="7" t="inlineStr">
        <is>
          <t>是否允许重试</t>
        </is>
      </c>
      <c r="E9" s="7" t="inlineStr">
        <is>
          <t>运行时最多按策略重试</t>
        </is>
      </c>
    </row>
    <row r="10">
      <c r="A10" s="6" t="inlineStr">
        <is>
          <t>业务事实</t>
        </is>
      </c>
      <c r="B10" s="6" t="inlineStr">
        <is>
          <t>data</t>
        </is>
      </c>
      <c r="C10" s="6" t="inlineStr">
        <is>
          <t>object</t>
        </is>
      </c>
      <c r="D10" s="6" t="inlineStr">
        <is>
          <t>最小业务事实协议</t>
        </is>
      </c>
      <c r="E10" s="6" t="inlineStr">
        <is>
          <t>只含完成回答所需字段</t>
        </is>
      </c>
    </row>
    <row r="11">
      <c r="A11" s="7" t="inlineStr">
        <is>
          <t>业务事实</t>
        </is>
      </c>
      <c r="B11" s="7" t="inlineStr">
        <is>
          <t>reason_code</t>
        </is>
      </c>
      <c r="C11" s="7" t="inlineStr">
        <is>
          <t>enum|null</t>
        </is>
      </c>
      <c r="D11" s="7" t="inlineStr">
        <is>
          <t>资格/异常原因码</t>
        </is>
      </c>
      <c r="E11" s="7" t="inlineStr">
        <is>
          <t>解释必须映射有效规则</t>
        </is>
      </c>
    </row>
    <row r="12">
      <c r="A12" s="6" t="inlineStr">
        <is>
          <t>证据</t>
        </is>
      </c>
      <c r="B12" s="6" t="inlineStr">
        <is>
          <t>evidence_refs</t>
        </is>
      </c>
      <c r="C12" s="6" t="inlineStr">
        <is>
          <t>array</t>
        </is>
      </c>
      <c r="D12" s="6" t="inlineStr">
        <is>
          <t>支持结论的规则/事实引用</t>
        </is>
      </c>
      <c r="E12" s="6" t="inlineStr">
        <is>
          <t>用于回答引用和工单</t>
        </is>
      </c>
    </row>
    <row r="13">
      <c r="A13" s="7" t="inlineStr">
        <is>
          <t>安全</t>
        </is>
      </c>
      <c r="B13" s="7" t="inlineStr">
        <is>
          <t>redaction_applied</t>
        </is>
      </c>
      <c r="C13" s="7" t="inlineStr">
        <is>
          <t>boolean</t>
        </is>
      </c>
      <c r="D13" s="7" t="inlineStr">
        <is>
          <t>是否已做脱敏/裁剪</t>
        </is>
      </c>
      <c r="E13" s="7" t="inlineStr">
        <is>
          <t>应为true或无敏感字段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44" customWidth="1" min="4" max="4"/>
    <col width="40" customWidth="1" min="5" max="5"/>
    <col width="10" customWidth="1" min="6" max="6"/>
  </cols>
  <sheetData>
    <row r="1" ht="34" customHeight="1">
      <c r="A1" s="1" t="inlineStr">
        <is>
          <t>工具错误码与恢复策略</t>
        </is>
      </c>
    </row>
    <row r="2" ht="32" customHeight="1">
      <c r="A2" s="2" t="inlineStr">
        <is>
          <t>必须区分“没有数据”“无权限”“事实冲突”“规则不可用”和“技术超时”。</t>
        </is>
      </c>
    </row>
    <row r="3" ht="30" customHeight="1">
      <c r="A3" s="5" t="inlineStr">
        <is>
          <t>错误码</t>
        </is>
      </c>
      <c r="B3" s="5" t="inlineStr">
        <is>
          <t>含义</t>
        </is>
      </c>
      <c r="C3" s="5" t="inlineStr">
        <is>
          <t>可重试</t>
        </is>
      </c>
      <c r="D3" s="5" t="inlineStr">
        <is>
          <t>产品处理</t>
        </is>
      </c>
      <c r="E3" s="5" t="inlineStr">
        <is>
          <t>安全要求</t>
        </is>
      </c>
      <c r="F3" s="5" t="inlineStr">
        <is>
          <t>风险</t>
        </is>
      </c>
    </row>
    <row r="4">
      <c r="A4" s="6" t="inlineStr">
        <is>
          <t>AUTH_EXPIRED</t>
        </is>
      </c>
      <c r="B4" s="6" t="inlineStr">
        <is>
          <t>认证失效</t>
        </is>
      </c>
      <c r="C4" s="6" t="inlineStr">
        <is>
          <t>否</t>
        </is>
      </c>
      <c r="D4" s="6" t="inlineStr">
        <is>
          <t>提示重新登录；清理个人上下文</t>
        </is>
      </c>
      <c r="E4" s="6" t="inlineStr">
        <is>
          <t>不得展示缓存资产</t>
        </is>
      </c>
      <c r="F4" s="6" t="inlineStr">
        <is>
          <t>P0</t>
        </is>
      </c>
    </row>
    <row r="5">
      <c r="A5" s="7" t="inlineStr">
        <is>
          <t>AUTH_REQUIRED</t>
        </is>
      </c>
      <c r="B5" s="7" t="inlineStr">
        <is>
          <t>需要更高认证</t>
        </is>
      </c>
      <c r="C5" s="7" t="inlineStr">
        <is>
          <t>否</t>
        </is>
      </c>
      <c r="D5" s="7" t="inlineStr">
        <is>
          <t>进入登录/升级认证流程</t>
        </is>
      </c>
      <c r="E5" s="7" t="inlineStr">
        <is>
          <t>不得让用户在聊天中发送验证码</t>
        </is>
      </c>
      <c r="F5" s="7" t="inlineStr">
        <is>
          <t>P0</t>
        </is>
      </c>
    </row>
    <row r="6">
      <c r="A6" s="6" t="inlineStr">
        <is>
          <t>FORBIDDEN</t>
        </is>
      </c>
      <c r="B6" s="6" t="inlineStr">
        <is>
          <t>无工具权限</t>
        </is>
      </c>
      <c r="C6" s="6" t="inlineStr">
        <is>
          <t>否</t>
        </is>
      </c>
      <c r="D6" s="6" t="inlineStr">
        <is>
          <t>拒绝并记录安全事件</t>
        </is>
      </c>
      <c r="E6" s="6" t="inlineStr">
        <is>
          <t>不得换工具绕过</t>
        </is>
      </c>
      <c r="F6" s="6" t="inlineStr">
        <is>
          <t>P0</t>
        </is>
      </c>
    </row>
    <row r="7">
      <c r="A7" s="7" t="inlineStr">
        <is>
          <t>NOT_OWNED</t>
        </is>
      </c>
      <c r="B7" s="7" t="inlineStr">
        <is>
          <t>对象不属于当前会员</t>
        </is>
      </c>
      <c r="C7" s="7" t="inlineStr">
        <is>
          <t>否</t>
        </is>
      </c>
      <c r="D7" s="7" t="inlineStr">
        <is>
          <t>返回不可查询；不暴露对象存在性</t>
        </is>
      </c>
      <c r="E7" s="7" t="inlineStr">
        <is>
          <t>安全审计</t>
        </is>
      </c>
      <c r="F7" s="7" t="inlineStr">
        <is>
          <t>P0</t>
        </is>
      </c>
    </row>
    <row r="8">
      <c r="A8" s="6" t="inlineStr">
        <is>
          <t>NOT_FOUND</t>
        </is>
      </c>
      <c r="B8" s="6" t="inlineStr">
        <is>
          <t>本人范围内无记录</t>
        </is>
      </c>
      <c r="C8" s="6" t="inlineStr">
        <is>
          <t>否</t>
        </is>
      </c>
      <c r="D8" s="6" t="inlineStr">
        <is>
          <t>说明未找到并提供选择器/人工入口</t>
        </is>
      </c>
      <c r="E8" s="6" t="inlineStr">
        <is>
          <t>区分系统失败</t>
        </is>
      </c>
      <c r="F8" s="6" t="inlineStr">
        <is>
          <t>P1</t>
        </is>
      </c>
    </row>
    <row r="9">
      <c r="A9" s="7" t="inlineStr">
        <is>
          <t>INVALID_ARGUMENT</t>
        </is>
      </c>
      <c r="B9" s="7" t="inlineStr">
        <is>
          <t>参数格式不合法</t>
        </is>
      </c>
      <c r="C9" s="7" t="inlineStr">
        <is>
          <t>否</t>
        </is>
      </c>
      <c r="D9" s="7" t="inlineStr">
        <is>
          <t>重新抽取或追问1次</t>
        </is>
      </c>
      <c r="E9" s="7" t="inlineStr">
        <is>
          <t>不得猜测</t>
        </is>
      </c>
      <c r="F9" s="7" t="inlineStr">
        <is>
          <t>P1</t>
        </is>
      </c>
    </row>
    <row r="10">
      <c r="A10" s="6" t="inlineStr">
        <is>
          <t>INVALID_RANGE</t>
        </is>
      </c>
      <c r="B10" s="6" t="inlineStr">
        <is>
          <t>查询范围不合法</t>
        </is>
      </c>
      <c r="C10" s="6" t="inlineStr">
        <is>
          <t>否</t>
        </is>
      </c>
      <c r="D10" s="6" t="inlineStr">
        <is>
          <t>提示调整时间范围</t>
        </is>
      </c>
      <c r="E10" s="6" t="inlineStr">
        <is>
          <t>不扩大查询</t>
        </is>
      </c>
      <c r="F10" s="6" t="inlineStr">
        <is>
          <t>P2</t>
        </is>
      </c>
    </row>
    <row r="11">
      <c r="A11" s="7" t="inlineStr">
        <is>
          <t>TIMEOUT</t>
        </is>
      </c>
      <c r="B11" s="7" t="inlineStr">
        <is>
          <t>下游超时</t>
        </is>
      </c>
      <c r="C11" s="7" t="inlineStr">
        <is>
          <t>是，最多1次</t>
        </is>
      </c>
      <c r="D11" s="7" t="inlineStr">
        <is>
          <t>重试后仍失败则部分回答/人工</t>
        </is>
      </c>
      <c r="E11" s="7" t="inlineStr">
        <is>
          <t>不得编造事实</t>
        </is>
      </c>
      <c r="F11" s="7" t="inlineStr">
        <is>
          <t>P1</t>
        </is>
      </c>
    </row>
    <row r="12">
      <c r="A12" s="6" t="inlineStr">
        <is>
          <t>RATE_LIMITED</t>
        </is>
      </c>
      <c r="B12" s="6" t="inlineStr">
        <is>
          <t>被限流</t>
        </is>
      </c>
      <c r="C12" s="6" t="inlineStr">
        <is>
          <t>是，按retry_after</t>
        </is>
      </c>
      <c r="D12" s="6" t="inlineStr">
        <is>
          <t>排队或稍后重试</t>
        </is>
      </c>
      <c r="E12" s="6" t="inlineStr">
        <is>
          <t>不得快速循环</t>
        </is>
      </c>
      <c r="F12" s="6" t="inlineStr">
        <is>
          <t>P1</t>
        </is>
      </c>
    </row>
    <row r="13">
      <c r="A13" s="7" t="inlineStr">
        <is>
          <t>DEPENDENCY_UNAVAILABLE</t>
        </is>
      </c>
      <c r="B13" s="7" t="inlineStr">
        <is>
          <t>依赖服务不可用</t>
        </is>
      </c>
      <c r="C13" s="7" t="inlineStr">
        <is>
          <t>按策略</t>
        </is>
      </c>
      <c r="D13" s="7" t="inlineStr">
        <is>
          <t>熔断并降级</t>
        </is>
      </c>
      <c r="E13" s="7" t="inlineStr">
        <is>
          <t>标记服务状态</t>
        </is>
      </c>
      <c r="F13" s="7" t="inlineStr">
        <is>
          <t>P1</t>
        </is>
      </c>
    </row>
    <row r="14">
      <c r="A14" s="6" t="inlineStr">
        <is>
          <t>RULE_UNAVAILABLE</t>
        </is>
      </c>
      <c r="B14" s="6" t="inlineStr">
        <is>
          <t>有效规则不可用</t>
        </is>
      </c>
      <c r="C14" s="6" t="inlineStr">
        <is>
          <t>否</t>
        </is>
      </c>
      <c r="D14" s="6" t="inlineStr">
        <is>
          <t>不解释规则；转人工/提交知识问题</t>
        </is>
      </c>
      <c r="E14" s="6" t="inlineStr">
        <is>
          <t>不得使用旧版猜</t>
        </is>
      </c>
      <c r="F14" s="6" t="inlineStr">
        <is>
          <t>P0</t>
        </is>
      </c>
    </row>
    <row r="15">
      <c r="A15" s="7" t="inlineStr">
        <is>
          <t>VERSION_CONFLICT</t>
        </is>
      </c>
      <c r="B15" s="7" t="inlineStr">
        <is>
          <t>规则版本冲突</t>
        </is>
      </c>
      <c r="C15" s="7" t="inlineStr">
        <is>
          <t>否</t>
        </is>
      </c>
      <c r="D15" s="7" t="inlineStr">
        <is>
          <t>停止结论并进入知识治理</t>
        </is>
      </c>
      <c r="E15" s="7" t="inlineStr">
        <is>
          <t>记录冲突文档</t>
        </is>
      </c>
      <c r="F15" s="7" t="inlineStr">
        <is>
          <t>P0</t>
        </is>
      </c>
    </row>
    <row r="16">
      <c r="A16" s="6" t="inlineStr">
        <is>
          <t>DATA_CONFLICT</t>
        </is>
      </c>
      <c r="B16" s="6" t="inlineStr">
        <is>
          <t>多个事实源冲突</t>
        </is>
      </c>
      <c r="C16" s="6" t="inlineStr">
        <is>
          <t>否</t>
        </is>
      </c>
      <c r="D16" s="6" t="inlineStr">
        <is>
          <t>停止结论并创建异常工单</t>
        </is>
      </c>
      <c r="E16" s="6" t="inlineStr">
        <is>
          <t>记录版本与时间</t>
        </is>
      </c>
      <c r="F16" s="6" t="inlineStr">
        <is>
          <t>P0</t>
        </is>
      </c>
    </row>
    <row r="17">
      <c r="A17" s="7" t="inlineStr">
        <is>
          <t>DUPLICATE</t>
        </is>
      </c>
      <c r="B17" s="7" t="inlineStr">
        <is>
          <t>重复写入</t>
        </is>
      </c>
      <c r="C17" s="7" t="inlineStr">
        <is>
          <t>否</t>
        </is>
      </c>
      <c r="D17" s="7" t="inlineStr">
        <is>
          <t>返回已有工单/接管记录</t>
        </is>
      </c>
      <c r="E17" s="7" t="inlineStr">
        <is>
          <t>依赖幂等键</t>
        </is>
      </c>
      <c r="F17" s="7" t="inlineStr">
        <is>
          <t>P1</t>
        </is>
      </c>
    </row>
    <row r="18">
      <c r="A18" s="6" t="inlineStr">
        <is>
          <t>INVALID_QUEUE</t>
        </is>
      </c>
      <c r="B18" s="6" t="inlineStr">
        <is>
          <t>人工队列配置错误</t>
        </is>
      </c>
      <c r="C18" s="6" t="inlineStr">
        <is>
          <t>否</t>
        </is>
      </c>
      <c r="D18" s="6" t="inlineStr">
        <is>
          <t>进入默认安全队列并告警</t>
        </is>
      </c>
      <c r="E18" s="6" t="inlineStr">
        <is>
          <t>不得丢弃会话</t>
        </is>
      </c>
      <c r="F18" s="6" t="inlineStr">
        <is>
          <t>P1</t>
        </is>
      </c>
    </row>
    <row r="19">
      <c r="A19" s="7" t="inlineStr">
        <is>
          <t>NO_EVIDENCE</t>
        </is>
      </c>
      <c r="B19" s="7" t="inlineStr">
        <is>
          <t>检索无有效证据</t>
        </is>
      </c>
      <c r="C19" s="7" t="inlineStr">
        <is>
          <t>否</t>
        </is>
      </c>
      <c r="D19" s="7" t="inlineStr">
        <is>
          <t>正确拒答/追问/人工</t>
        </is>
      </c>
      <c r="E19" s="7" t="inlineStr">
        <is>
          <t>不靠模型常识回答</t>
        </is>
      </c>
      <c r="F19" s="7" t="inlineStr">
        <is>
          <t>P0</t>
        </is>
      </c>
    </row>
    <row r="20">
      <c r="A20" s="6" t="inlineStr">
        <is>
          <t>TOOL_RESULT_INVALID</t>
        </is>
      </c>
      <c r="B20" s="6" t="inlineStr">
        <is>
          <t>工具返回不符合协议</t>
        </is>
      </c>
      <c r="C20" s="6" t="inlineStr">
        <is>
          <t>最多1次</t>
        </is>
      </c>
      <c r="D20" s="6" t="inlineStr">
        <is>
          <t>适配器拒绝并告警</t>
        </is>
      </c>
      <c r="E20" s="6" t="inlineStr">
        <is>
          <t>不把原始结果给模型</t>
        </is>
      </c>
      <c r="F20" s="6" t="inlineStr">
        <is>
          <t>P0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14" customWidth="1" min="4" max="4"/>
    <col width="20" customWidth="1" min="5" max="5"/>
    <col width="72" customWidth="1" min="6" max="6"/>
    <col width="18" customWidth="1" min="7" max="7"/>
    <col width="12" customWidth="1" min="8" max="8"/>
    <col width="48" customWidth="1" min="9" max="9"/>
    <col width="28" customWidth="1" min="10" max="10"/>
  </cols>
  <sheetData>
    <row r="1" ht="34" customHeight="1">
      <c r="A1" s="1" t="inlineStr">
        <is>
          <t>50个场景到工具轨迹的映射</t>
        </is>
      </c>
    </row>
    <row r="2" ht="32" customHeight="1">
      <c r="A2" s="2" t="inlineStr">
        <is>
          <t>工具轨迹是推荐路径，不代表模型可以自由跳过前置校验。</t>
        </is>
      </c>
    </row>
    <row r="3" ht="30" customHeight="1">
      <c r="A3" s="5" t="inlineStr">
        <is>
          <t>场景ID</t>
        </is>
      </c>
      <c r="B3" s="5" t="inlineStr">
        <is>
          <t>一级域</t>
        </is>
      </c>
      <c r="C3" s="5" t="inlineStr">
        <is>
          <t>二级场景</t>
        </is>
      </c>
      <c r="D3" s="5" t="inlineStr">
        <is>
          <t>产品阶段</t>
        </is>
      </c>
      <c r="E3" s="5" t="inlineStr">
        <is>
          <t>编排模式</t>
        </is>
      </c>
      <c r="F3" s="5" t="inlineStr">
        <is>
          <t>推荐工具轨迹</t>
        </is>
      </c>
      <c r="G3" s="5" t="inlineStr">
        <is>
          <t>身份要求</t>
        </is>
      </c>
      <c r="H3" s="5" t="inlineStr">
        <is>
          <t>是否RAG</t>
        </is>
      </c>
      <c r="I3" s="5" t="inlineStr">
        <is>
          <t>失败处理</t>
        </is>
      </c>
      <c r="J3" s="5" t="inlineStr">
        <is>
          <t>写操作边界</t>
        </is>
      </c>
    </row>
    <row r="4">
      <c r="A4" s="6" t="inlineStr">
        <is>
          <t>ACC-01</t>
        </is>
      </c>
      <c r="B4" s="6" t="inlineStr">
        <is>
          <t>账号与身份</t>
        </is>
      </c>
      <c r="C4" s="6" t="inlineStr">
        <is>
          <t>查询会员身份/绑定状态</t>
        </is>
      </c>
      <c r="D4" s="6" t="inlineStr">
        <is>
          <t>MVP P1</t>
        </is>
      </c>
      <c r="E4" s="6" t="inlineStr">
        <is>
          <t>T3 API+RAG 混合</t>
        </is>
      </c>
      <c r="F4" s="6" t="inlineStr">
        <is>
          <t>member_context.get → knowledge_search.search</t>
        </is>
      </c>
      <c r="G4" s="6" t="inlineStr">
        <is>
          <t>登录态必需</t>
        </is>
      </c>
      <c r="H4" s="6" t="inlineStr">
        <is>
          <t>是</t>
        </is>
      </c>
      <c r="I4" s="6" t="inlineStr">
        <is>
          <t>接口失败→明确说明暂时无法查询并重试/转人工；知识无有效证据→拒答/转人工</t>
        </is>
      </c>
      <c r="J4" s="6" t="inlineStr">
        <is>
          <t>只读</t>
        </is>
      </c>
    </row>
    <row r="5">
      <c r="A5" s="7" t="inlineStr">
        <is>
          <t>ACC-02</t>
        </is>
      </c>
      <c r="B5" s="7" t="inlineStr">
        <is>
          <t>账号与身份</t>
        </is>
      </c>
      <c r="C5" s="7" t="inlineStr">
        <is>
          <t>登录失败/验证码问题</t>
        </is>
      </c>
      <c r="D5" s="7" t="inlineStr">
        <is>
          <t>MVP P1</t>
        </is>
      </c>
      <c r="E5" s="7" t="inlineStr">
        <is>
          <t>T4 工作流诊断</t>
        </is>
      </c>
      <c r="F5" s="7" t="inlineStr">
        <is>
          <t>member_context.get → knowledge_search.search</t>
        </is>
      </c>
      <c r="G5" s="7" t="inlineStr">
        <is>
          <t>按场景校验</t>
        </is>
      </c>
      <c r="H5" s="7" t="inlineStr">
        <is>
          <t>是</t>
        </is>
      </c>
      <c r="I5" s="7" t="inlineStr">
        <is>
          <t>接口失败→明确说明暂时无法查询并重试/转人工；知识无有效证据→拒答/转人工</t>
        </is>
      </c>
      <c r="J5" s="7" t="inlineStr">
        <is>
          <t>只读</t>
        </is>
      </c>
    </row>
    <row r="6">
      <c r="A6" s="6" t="inlineStr">
        <is>
          <t>ACC-03</t>
        </is>
      </c>
      <c r="B6" s="6" t="inlineStr">
        <is>
          <t>账号与身份</t>
        </is>
      </c>
      <c r="C6" s="6" t="inlineStr">
        <is>
          <t>线上线下会员未同步</t>
        </is>
      </c>
      <c r="D6" s="6" t="inlineStr">
        <is>
          <t>MVP P1</t>
        </is>
      </c>
      <c r="E6" s="6" t="inlineStr">
        <is>
          <t>T4 工作流诊断</t>
        </is>
      </c>
      <c r="F6" s="6" t="inlineStr">
        <is>
          <t>member_context.get → knowledge_search.search</t>
        </is>
      </c>
      <c r="G6" s="6" t="inlineStr">
        <is>
          <t>登录态必需</t>
        </is>
      </c>
      <c r="H6" s="6" t="inlineStr">
        <is>
          <t>否</t>
        </is>
      </c>
      <c r="I6" s="6" t="inlineStr">
        <is>
          <t>接口失败→明确说明暂时无法查询并重试/转人工；知识无有效证据→拒答/转人工</t>
        </is>
      </c>
      <c r="J6" s="6" t="inlineStr">
        <is>
          <t>只读</t>
        </is>
      </c>
    </row>
    <row r="7">
      <c r="A7" s="7" t="inlineStr">
        <is>
          <t>ACC-04</t>
        </is>
      </c>
      <c r="B7" s="7" t="inlineStr">
        <is>
          <t>账号与身份</t>
        </is>
      </c>
      <c r="C7" s="7" t="inlineStr">
        <is>
          <t>重复账号/账号合并</t>
        </is>
      </c>
      <c r="D7" s="7" t="inlineStr">
        <is>
          <t>二期/转人工</t>
        </is>
      </c>
      <c r="E7" s="7" t="inlineStr">
        <is>
          <t>T5 人工优先</t>
        </is>
      </c>
      <c r="F7" s="7" t="inlineStr">
        <is>
          <t>human_handoff.create</t>
        </is>
      </c>
      <c r="G7" s="7" t="inlineStr">
        <is>
          <t>登录态必需</t>
        </is>
      </c>
      <c r="H7" s="7" t="inlineStr">
        <is>
          <t>是</t>
        </is>
      </c>
      <c r="I7" s="7" t="inlineStr">
        <is>
          <t>直接进入对应人工队列，保留已收集信息</t>
        </is>
      </c>
      <c r="J7" s="7" t="inlineStr">
        <is>
          <t>只读；必要时仅创建工单/人工接管</t>
        </is>
      </c>
    </row>
    <row r="8">
      <c r="A8" s="6" t="inlineStr">
        <is>
          <t>ACC-05</t>
        </is>
      </c>
      <c r="B8" s="6" t="inlineStr">
        <is>
          <t>账号与身份</t>
        </is>
      </c>
      <c r="C8" s="6" t="inlineStr">
        <is>
          <t>注销账号/隐私请求</t>
        </is>
      </c>
      <c r="D8" s="6" t="inlineStr">
        <is>
          <t>转人工</t>
        </is>
      </c>
      <c r="E8" s="6" t="inlineStr">
        <is>
          <t>T5 人工优先</t>
        </is>
      </c>
      <c r="F8" s="6" t="inlineStr">
        <is>
          <t>human_handoff.create</t>
        </is>
      </c>
      <c r="G8" s="6" t="inlineStr">
        <is>
          <t>登录态必需</t>
        </is>
      </c>
      <c r="H8" s="6" t="inlineStr">
        <is>
          <t>是</t>
        </is>
      </c>
      <c r="I8" s="6" t="inlineStr">
        <is>
          <t>直接进入对应人工队列，保留已收集信息</t>
        </is>
      </c>
      <c r="J8" s="6" t="inlineStr">
        <is>
          <t>只读；必要时仅创建工单/人工接管</t>
        </is>
      </c>
    </row>
    <row r="9">
      <c r="A9" s="7" t="inlineStr">
        <is>
          <t>PTS-01</t>
        </is>
      </c>
      <c r="B9" s="7" t="inlineStr">
        <is>
          <t>积分</t>
        </is>
      </c>
      <c r="C9" s="7" t="inlineStr">
        <is>
          <t>积分余额查询</t>
        </is>
      </c>
      <c r="D9" s="7" t="inlineStr">
        <is>
          <t>MVP P0</t>
        </is>
      </c>
      <c r="E9" s="7" t="inlineStr">
        <is>
          <t>T1 API 直查</t>
        </is>
      </c>
      <c r="F9" s="7" t="inlineStr">
        <is>
          <t>member_context.get → points_balance.read</t>
        </is>
      </c>
      <c r="G9" s="7" t="inlineStr">
        <is>
          <t>登录态必需</t>
        </is>
      </c>
      <c r="H9" s="7" t="inlineStr">
        <is>
          <t>否</t>
        </is>
      </c>
      <c r="I9" s="7" t="inlineStr">
        <is>
          <t>接口失败→明确说明暂时无法查询并重试/转人工；知识无有效证据→拒答/转人工</t>
        </is>
      </c>
      <c r="J9" s="7" t="inlineStr">
        <is>
          <t>只读</t>
        </is>
      </c>
    </row>
    <row r="10">
      <c r="A10" s="6" t="inlineStr">
        <is>
          <t>PTS-02</t>
        </is>
      </c>
      <c r="B10" s="6" t="inlineStr">
        <is>
          <t>积分</t>
        </is>
      </c>
      <c r="C10" s="6" t="inlineStr">
        <is>
          <t>积分流水查询</t>
        </is>
      </c>
      <c r="D10" s="6" t="inlineStr">
        <is>
          <t>MVP P0</t>
        </is>
      </c>
      <c r="E10" s="6" t="inlineStr">
        <is>
          <t>T1 API 直查</t>
        </is>
      </c>
      <c r="F10" s="6" t="inlineStr">
        <is>
          <t>member_context.get → points_ledger.search</t>
        </is>
      </c>
      <c r="G10" s="6" t="inlineStr">
        <is>
          <t>登录态必需</t>
        </is>
      </c>
      <c r="H10" s="6" t="inlineStr">
        <is>
          <t>否</t>
        </is>
      </c>
      <c r="I10" s="6" t="inlineStr">
        <is>
          <t>接口失败→明确说明暂时无法查询并重试/转人工；知识无有效证据→拒答/转人工</t>
        </is>
      </c>
      <c r="J10" s="6" t="inlineStr">
        <is>
          <t>只读</t>
        </is>
      </c>
    </row>
    <row r="11">
      <c r="A11" s="7" t="inlineStr">
        <is>
          <t>PTS-03</t>
        </is>
      </c>
      <c r="B11" s="7" t="inlineStr">
        <is>
          <t>积分</t>
        </is>
      </c>
      <c r="C11" s="7" t="inlineStr">
        <is>
          <t>积分获取规则</t>
        </is>
      </c>
      <c r="D11" s="7" t="inlineStr">
        <is>
          <t>MVP P0</t>
        </is>
      </c>
      <c r="E11" s="7" t="inlineStr">
        <is>
          <t>T2 RAG 规则解释</t>
        </is>
      </c>
      <c r="F11" s="7" t="inlineStr">
        <is>
          <t>knowledge_search.search</t>
        </is>
      </c>
      <c r="G11" s="7" t="inlineStr">
        <is>
          <t>按场景校验</t>
        </is>
      </c>
      <c r="H11" s="7" t="inlineStr">
        <is>
          <t>是</t>
        </is>
      </c>
      <c r="I11" s="7" t="inlineStr">
        <is>
          <t>无有效知识或规则冲突→不猜测，提示无法确认并转人工/提交问题</t>
        </is>
      </c>
      <c r="J11" s="7" t="inlineStr">
        <is>
          <t>只读</t>
        </is>
      </c>
    </row>
    <row r="12">
      <c r="A12" s="6" t="inlineStr">
        <is>
          <t>PTS-04</t>
        </is>
      </c>
      <c r="B12" s="6" t="inlineStr">
        <is>
          <t>积分</t>
        </is>
      </c>
      <c r="C12" s="6" t="inlineStr">
        <is>
          <t>积分有效期/过期规则</t>
        </is>
      </c>
      <c r="D12" s="6" t="inlineStr">
        <is>
          <t>MVP P0</t>
        </is>
      </c>
      <c r="E12" s="6" t="inlineStr">
        <is>
          <t>T3 API+RAG 混合</t>
        </is>
      </c>
      <c r="F12" s="6" t="inlineStr">
        <is>
          <t>member_context.get → knowledge_search.search</t>
        </is>
      </c>
      <c r="G12" s="6" t="inlineStr">
        <is>
          <t>按场景校验</t>
        </is>
      </c>
      <c r="H12" s="6" t="inlineStr">
        <is>
          <t>是</t>
        </is>
      </c>
      <c r="I12" s="6" t="inlineStr">
        <is>
          <t>接口失败→明确说明暂时无法查询并重试/转人工；知识无有效证据→拒答/转人工</t>
        </is>
      </c>
      <c r="J12" s="6" t="inlineStr">
        <is>
          <t>只读</t>
        </is>
      </c>
    </row>
    <row r="13">
      <c r="A13" s="7" t="inlineStr">
        <is>
          <t>PTS-05</t>
        </is>
      </c>
      <c r="B13" s="7" t="inlineStr">
        <is>
          <t>积分</t>
        </is>
      </c>
      <c r="C13" s="7" t="inlineStr">
        <is>
          <t>消费积分未到账</t>
        </is>
      </c>
      <c r="D13" s="7" t="inlineStr">
        <is>
          <t>MVP P0</t>
        </is>
      </c>
      <c r="E13" s="7" t="inlineStr">
        <is>
          <t>T4 工作流诊断</t>
        </is>
      </c>
      <c r="F13" s="7" t="inlineStr">
        <is>
          <t>member_context.get → order_summary.read → order_points_eligibility.check → points_ledger.search → knowledge_search.search → case_create.create</t>
        </is>
      </c>
      <c r="G13" s="7" t="inlineStr">
        <is>
          <t>登录态必需</t>
        </is>
      </c>
      <c r="H13" s="7" t="inlineStr">
        <is>
          <t>是</t>
        </is>
      </c>
      <c r="I13" s="7" t="inlineStr">
        <is>
          <t>接口失败→明确说明暂时无法查询并重试/转人工；知识无有效证据→拒答/转人工</t>
        </is>
      </c>
      <c r="J13" s="7" t="inlineStr">
        <is>
          <t>只读；必要时仅创建工单/人工接管</t>
        </is>
      </c>
    </row>
    <row r="14">
      <c r="A14" s="6" t="inlineStr">
        <is>
          <t>PTS-06</t>
        </is>
      </c>
      <c r="B14" s="6" t="inlineStr">
        <is>
          <t>积分</t>
        </is>
      </c>
      <c r="C14" s="6" t="inlineStr">
        <is>
          <t>积分异常扣减/过期</t>
        </is>
      </c>
      <c r="D14" s="6" t="inlineStr">
        <is>
          <t>MVP P1</t>
        </is>
      </c>
      <c r="E14" s="6" t="inlineStr">
        <is>
          <t>T4 工作流诊断</t>
        </is>
      </c>
      <c r="F14" s="6" t="inlineStr">
        <is>
          <t>member_context.get → knowledge_search.search</t>
        </is>
      </c>
      <c r="G14" s="6" t="inlineStr">
        <is>
          <t>登录态必需</t>
        </is>
      </c>
      <c r="H14" s="6" t="inlineStr">
        <is>
          <t>是</t>
        </is>
      </c>
      <c r="I14" s="6" t="inlineStr">
        <is>
          <t>接口失败→明确说明暂时无法查询并重试/转人工；知识无有效证据→拒答/转人工</t>
        </is>
      </c>
      <c r="J14" s="6" t="inlineStr">
        <is>
          <t>只读</t>
        </is>
      </c>
    </row>
    <row r="15">
      <c r="A15" s="7" t="inlineStr">
        <is>
          <t>PTS-07</t>
        </is>
      </c>
      <c r="B15" s="7" t="inlineStr">
        <is>
          <t>积分</t>
        </is>
      </c>
      <c r="C15" s="7" t="inlineStr">
        <is>
          <t>退款后的积分调整</t>
        </is>
      </c>
      <c r="D15" s="7" t="inlineStr">
        <is>
          <t>MVP P1</t>
        </is>
      </c>
      <c r="E15" s="7" t="inlineStr">
        <is>
          <t>T4 工作流诊断</t>
        </is>
      </c>
      <c r="F15" s="7" t="inlineStr">
        <is>
          <t>member_context.get → knowledge_search.search</t>
        </is>
      </c>
      <c r="G15" s="7" t="inlineStr">
        <is>
          <t>登录态必需</t>
        </is>
      </c>
      <c r="H15" s="7" t="inlineStr">
        <is>
          <t>是</t>
        </is>
      </c>
      <c r="I15" s="7" t="inlineStr">
        <is>
          <t>接口失败→明确说明暂时无法查询并重试/转人工；知识无有效证据→拒答/转人工</t>
        </is>
      </c>
      <c r="J15" s="7" t="inlineStr">
        <is>
          <t>只读</t>
        </is>
      </c>
    </row>
    <row r="16">
      <c r="A16" s="6" t="inlineStr">
        <is>
          <t>PTS-08</t>
        </is>
      </c>
      <c r="B16" s="6" t="inlineStr">
        <is>
          <t>积分</t>
        </is>
      </c>
      <c r="C16" s="6" t="inlineStr">
        <is>
          <t>跨业态积分通兑</t>
        </is>
      </c>
      <c r="D16" s="6" t="inlineStr">
        <is>
          <t>MVP P1</t>
        </is>
      </c>
      <c r="E16" s="6" t="inlineStr">
        <is>
          <t>T2 RAG 规则解释</t>
        </is>
      </c>
      <c r="F16" s="6" t="inlineStr">
        <is>
          <t>knowledge_search.search</t>
        </is>
      </c>
      <c r="G16" s="6" t="inlineStr">
        <is>
          <t>按场景校验</t>
        </is>
      </c>
      <c r="H16" s="6" t="inlineStr">
        <is>
          <t>是</t>
        </is>
      </c>
      <c r="I16" s="6" t="inlineStr">
        <is>
          <t>无有效知识或规则冲突→不猜测，提示无法确认并转人工/提交问题</t>
        </is>
      </c>
      <c r="J16" s="6" t="inlineStr">
        <is>
          <t>只读</t>
        </is>
      </c>
    </row>
    <row r="17">
      <c r="A17" s="7" t="inlineStr">
        <is>
          <t>PTS-09</t>
        </is>
      </c>
      <c r="B17" s="7" t="inlineStr">
        <is>
          <t>积分</t>
        </is>
      </c>
      <c r="C17" s="7" t="inlineStr">
        <is>
          <t>积分兑换/抵扣规则</t>
        </is>
      </c>
      <c r="D17" s="7" t="inlineStr">
        <is>
          <t>MVP P1</t>
        </is>
      </c>
      <c r="E17" s="7" t="inlineStr">
        <is>
          <t>T2 RAG 规则解释</t>
        </is>
      </c>
      <c r="F17" s="7" t="inlineStr">
        <is>
          <t>knowledge_search.search</t>
        </is>
      </c>
      <c r="G17" s="7" t="inlineStr">
        <is>
          <t>按场景校验</t>
        </is>
      </c>
      <c r="H17" s="7" t="inlineStr">
        <is>
          <t>是</t>
        </is>
      </c>
      <c r="I17" s="7" t="inlineStr">
        <is>
          <t>无有效知识或规则冲突→不猜测，提示无法确认并转人工/提交问题</t>
        </is>
      </c>
      <c r="J17" s="7" t="inlineStr">
        <is>
          <t>只读</t>
        </is>
      </c>
    </row>
    <row r="18">
      <c r="A18" s="6" t="inlineStr">
        <is>
          <t>PTS-10</t>
        </is>
      </c>
      <c r="B18" s="6" t="inlineStr">
        <is>
          <t>积分</t>
        </is>
      </c>
      <c r="C18" s="6" t="inlineStr">
        <is>
          <t>积分转赠/跨账号转移</t>
        </is>
      </c>
      <c r="D18" s="6" t="inlineStr">
        <is>
          <t>二期</t>
        </is>
      </c>
      <c r="E18" s="6" t="inlineStr">
        <is>
          <t>T2 RAG 规则解释</t>
        </is>
      </c>
      <c r="F18" s="6" t="inlineStr">
        <is>
          <t>knowledge_search.search</t>
        </is>
      </c>
      <c r="G18" s="6" t="inlineStr">
        <is>
          <t>按场景校验</t>
        </is>
      </c>
      <c r="H18" s="6" t="inlineStr">
        <is>
          <t>是</t>
        </is>
      </c>
      <c r="I18" s="6" t="inlineStr">
        <is>
          <t>无有效知识或规则冲突→不猜测，提示无法确认并转人工/提交问题</t>
        </is>
      </c>
      <c r="J18" s="6" t="inlineStr">
        <is>
          <t>只读</t>
        </is>
      </c>
    </row>
    <row r="19">
      <c r="A19" s="7" t="inlineStr">
        <is>
          <t>CPN-01</t>
        </is>
      </c>
      <c r="B19" s="7" t="inlineStr">
        <is>
          <t>优惠券</t>
        </is>
      </c>
      <c r="C19" s="7" t="inlineStr">
        <is>
          <t>可用优惠券查询</t>
        </is>
      </c>
      <c r="D19" s="7" t="inlineStr">
        <is>
          <t>MVP P0</t>
        </is>
      </c>
      <c r="E19" s="7" t="inlineStr">
        <is>
          <t>T1 API 直查</t>
        </is>
      </c>
      <c r="F19" s="7" t="inlineStr">
        <is>
          <t>member_context.get → coupon_list.read</t>
        </is>
      </c>
      <c r="G19" s="7" t="inlineStr">
        <is>
          <t>登录态必需</t>
        </is>
      </c>
      <c r="H19" s="7" t="inlineStr">
        <is>
          <t>否</t>
        </is>
      </c>
      <c r="I19" s="7" t="inlineStr">
        <is>
          <t>接口失败→明确说明暂时无法查询并重试/转人工；知识无有效证据→拒答/转人工</t>
        </is>
      </c>
      <c r="J19" s="7" t="inlineStr">
        <is>
          <t>只读</t>
        </is>
      </c>
    </row>
    <row r="20">
      <c r="A20" s="6" t="inlineStr">
        <is>
          <t>CPN-02</t>
        </is>
      </c>
      <c r="B20" s="6" t="inlineStr">
        <is>
          <t>优惠券</t>
        </is>
      </c>
      <c r="C20" s="6" t="inlineStr">
        <is>
          <t>券使用条件解释</t>
        </is>
      </c>
      <c r="D20" s="6" t="inlineStr">
        <is>
          <t>MVP P0</t>
        </is>
      </c>
      <c r="E20" s="6" t="inlineStr">
        <is>
          <t>T3 API+RAG 混合</t>
        </is>
      </c>
      <c r="F20" s="6" t="inlineStr">
        <is>
          <t>member_context.get → coupon_detail.read → coupon_eligibility.check → knowledge_search.search</t>
        </is>
      </c>
      <c r="G20" s="6" t="inlineStr">
        <is>
          <t>登录态必需</t>
        </is>
      </c>
      <c r="H20" s="6" t="inlineStr">
        <is>
          <t>是</t>
        </is>
      </c>
      <c r="I20" s="6" t="inlineStr">
        <is>
          <t>接口失败→明确说明暂时无法查询并重试/转人工；知识无有效证据→拒答/转人工</t>
        </is>
      </c>
      <c r="J20" s="6" t="inlineStr">
        <is>
          <t>只读</t>
        </is>
      </c>
    </row>
    <row r="21">
      <c r="A21" s="7" t="inlineStr">
        <is>
          <t>CPN-03</t>
        </is>
      </c>
      <c r="B21" s="7" t="inlineStr">
        <is>
          <t>优惠券</t>
        </is>
      </c>
      <c r="C21" s="7" t="inlineStr">
        <is>
          <t>适用门店/渠道查询</t>
        </is>
      </c>
      <c r="D21" s="7" t="inlineStr">
        <is>
          <t>MVP P0</t>
        </is>
      </c>
      <c r="E21" s="7" t="inlineStr">
        <is>
          <t>T3 API+RAG 混合</t>
        </is>
      </c>
      <c r="F21" s="7" t="inlineStr">
        <is>
          <t>member_context.get → coupon_list.read</t>
        </is>
      </c>
      <c r="G21" s="7" t="inlineStr">
        <is>
          <t>登录态必需</t>
        </is>
      </c>
      <c r="H21" s="7" t="inlineStr">
        <is>
          <t>是</t>
        </is>
      </c>
      <c r="I21" s="7" t="inlineStr">
        <is>
          <t>接口失败→明确说明暂时无法查询并重试/转人工；知识无有效证据→拒答/转人工</t>
        </is>
      </c>
      <c r="J21" s="7" t="inlineStr">
        <is>
          <t>只读</t>
        </is>
      </c>
    </row>
    <row r="22">
      <c r="A22" s="6" t="inlineStr">
        <is>
          <t>CPN-04</t>
        </is>
      </c>
      <c r="B22" s="6" t="inlineStr">
        <is>
          <t>优惠券</t>
        </is>
      </c>
      <c r="C22" s="6" t="inlineStr">
        <is>
          <t>叠加/互斥规则</t>
        </is>
      </c>
      <c r="D22" s="6" t="inlineStr">
        <is>
          <t>MVP P1</t>
        </is>
      </c>
      <c r="E22" s="6" t="inlineStr">
        <is>
          <t>T3 API+RAG 混合</t>
        </is>
      </c>
      <c r="F22" s="6" t="inlineStr">
        <is>
          <t>member_context.get → knowledge_search.search</t>
        </is>
      </c>
      <c r="G22" s="6" t="inlineStr">
        <is>
          <t>按场景校验</t>
        </is>
      </c>
      <c r="H22" s="6" t="inlineStr">
        <is>
          <t>是</t>
        </is>
      </c>
      <c r="I22" s="6" t="inlineStr">
        <is>
          <t>接口失败→明确说明暂时无法查询并重试/转人工；知识无有效证据→拒答/转人工</t>
        </is>
      </c>
      <c r="J22" s="6" t="inlineStr">
        <is>
          <t>只读</t>
        </is>
      </c>
    </row>
    <row r="23">
      <c r="A23" s="7" t="inlineStr">
        <is>
          <t>CPN-05</t>
        </is>
      </c>
      <c r="B23" s="7" t="inlineStr">
        <is>
          <t>优惠券</t>
        </is>
      </c>
      <c r="C23" s="7" t="inlineStr">
        <is>
          <t>优惠券未到账</t>
        </is>
      </c>
      <c r="D23" s="7" t="inlineStr">
        <is>
          <t>MVP P0</t>
        </is>
      </c>
      <c r="E23" s="7" t="inlineStr">
        <is>
          <t>T4 工作流诊断</t>
        </is>
      </c>
      <c r="F23" s="7" t="inlineStr">
        <is>
          <t>member_context.get → coupon_list.read → knowledge_search.search → case_create.create</t>
        </is>
      </c>
      <c r="G23" s="7" t="inlineStr">
        <is>
          <t>登录态必需</t>
        </is>
      </c>
      <c r="H23" s="7" t="inlineStr">
        <is>
          <t>是</t>
        </is>
      </c>
      <c r="I23" s="7" t="inlineStr">
        <is>
          <t>接口失败→明确说明暂时无法查询并重试/转人工；知识无有效证据→拒答/转人工</t>
        </is>
      </c>
      <c r="J23" s="7" t="inlineStr">
        <is>
          <t>只读；必要时仅创建工单/人工接管</t>
        </is>
      </c>
    </row>
    <row r="24">
      <c r="A24" s="6" t="inlineStr">
        <is>
          <t>CPN-06</t>
        </is>
      </c>
      <c r="B24" s="6" t="inlineStr">
        <is>
          <t>优惠券</t>
        </is>
      </c>
      <c r="C24" s="6" t="inlineStr">
        <is>
          <t>优惠券无法使用</t>
        </is>
      </c>
      <c r="D24" s="6" t="inlineStr">
        <is>
          <t>MVP P0</t>
        </is>
      </c>
      <c r="E24" s="6" t="inlineStr">
        <is>
          <t>T4 工作流诊断</t>
        </is>
      </c>
      <c r="F24" s="6" t="inlineStr">
        <is>
          <t>member_context.get → coupon_detail.read → coupon_eligibility.check → knowledge_search.search</t>
        </is>
      </c>
      <c r="G24" s="6" t="inlineStr">
        <is>
          <t>登录态必需</t>
        </is>
      </c>
      <c r="H24" s="6" t="inlineStr">
        <is>
          <t>是</t>
        </is>
      </c>
      <c r="I24" s="6" t="inlineStr">
        <is>
          <t>接口失败→明确说明暂时无法查询并重试/转人工；知识无有效证据→拒答/转人工</t>
        </is>
      </c>
      <c r="J24" s="6" t="inlineStr">
        <is>
          <t>只读</t>
        </is>
      </c>
    </row>
    <row r="25">
      <c r="A25" s="7" t="inlineStr">
        <is>
          <t>CPN-07</t>
        </is>
      </c>
      <c r="B25" s="7" t="inlineStr">
        <is>
          <t>优惠券</t>
        </is>
      </c>
      <c r="C25" s="7" t="inlineStr">
        <is>
          <t>优惠券过期</t>
        </is>
      </c>
      <c r="D25" s="7" t="inlineStr">
        <is>
          <t>MVP P1</t>
        </is>
      </c>
      <c r="E25" s="7" t="inlineStr">
        <is>
          <t>T5 人工优先</t>
        </is>
      </c>
      <c r="F25" s="7" t="inlineStr">
        <is>
          <t>human_handoff.create</t>
        </is>
      </c>
      <c r="G25" s="7" t="inlineStr">
        <is>
          <t>登录态必需</t>
        </is>
      </c>
      <c r="H25" s="7" t="inlineStr">
        <is>
          <t>是</t>
        </is>
      </c>
      <c r="I25" s="7" t="inlineStr">
        <is>
          <t>直接进入对应人工队列，保留已收集信息</t>
        </is>
      </c>
      <c r="J25" s="7" t="inlineStr">
        <is>
          <t>只读；必要时仅创建工单/人工接管</t>
        </is>
      </c>
    </row>
    <row r="26">
      <c r="A26" s="6" t="inlineStr">
        <is>
          <t>CPN-08</t>
        </is>
      </c>
      <c r="B26" s="6" t="inlineStr">
        <is>
          <t>优惠券</t>
        </is>
      </c>
      <c r="C26" s="6" t="inlineStr">
        <is>
          <t>券显示已使用但用户否认</t>
        </is>
      </c>
      <c r="D26" s="6" t="inlineStr">
        <is>
          <t>转人工</t>
        </is>
      </c>
      <c r="E26" s="6" t="inlineStr">
        <is>
          <t>T5 人工优先</t>
        </is>
      </c>
      <c r="F26" s="6" t="inlineStr">
        <is>
          <t>human_handoff.create</t>
        </is>
      </c>
      <c r="G26" s="6" t="inlineStr">
        <is>
          <t>登录态必需</t>
        </is>
      </c>
      <c r="H26" s="6" t="inlineStr">
        <is>
          <t>否</t>
        </is>
      </c>
      <c r="I26" s="6" t="inlineStr">
        <is>
          <t>直接进入对应人工队列，保留已收集信息</t>
        </is>
      </c>
      <c r="J26" s="6" t="inlineStr">
        <is>
          <t>只读；必要时仅创建工单/人工接管</t>
        </is>
      </c>
    </row>
    <row r="27">
      <c r="A27" s="7" t="inlineStr">
        <is>
          <t>CPN-09</t>
        </is>
      </c>
      <c r="B27" s="7" t="inlineStr">
        <is>
          <t>优惠券</t>
        </is>
      </c>
      <c r="C27" s="7" t="inlineStr">
        <is>
          <t>退款后的券返还</t>
        </is>
      </c>
      <c r="D27" s="7" t="inlineStr">
        <is>
          <t>MVP P1</t>
        </is>
      </c>
      <c r="E27" s="7" t="inlineStr">
        <is>
          <t>T4 工作流诊断</t>
        </is>
      </c>
      <c r="F27" s="7" t="inlineStr">
        <is>
          <t>member_context.get → knowledge_search.search</t>
        </is>
      </c>
      <c r="G27" s="7" t="inlineStr">
        <is>
          <t>登录态必需</t>
        </is>
      </c>
      <c r="H27" s="7" t="inlineStr">
        <is>
          <t>是</t>
        </is>
      </c>
      <c r="I27" s="7" t="inlineStr">
        <is>
          <t>接口失败→明确说明暂时无法查询并重试/转人工；知识无有效证据→拒答/转人工</t>
        </is>
      </c>
      <c r="J27" s="7" t="inlineStr">
        <is>
          <t>只读</t>
        </is>
      </c>
    </row>
    <row r="28">
      <c r="A28" s="6" t="inlineStr">
        <is>
          <t>CPN-10</t>
        </is>
      </c>
      <c r="B28" s="6" t="inlineStr">
        <is>
          <t>优惠券</t>
        </is>
      </c>
      <c r="C28" s="6" t="inlineStr">
        <is>
          <t>补券/赔偿请求</t>
        </is>
      </c>
      <c r="D28" s="6" t="inlineStr">
        <is>
          <t>转人工</t>
        </is>
      </c>
      <c r="E28" s="6" t="inlineStr">
        <is>
          <t>T5 人工优先</t>
        </is>
      </c>
      <c r="F28" s="6" t="inlineStr">
        <is>
          <t>human_handoff.create</t>
        </is>
      </c>
      <c r="G28" s="6" t="inlineStr">
        <is>
          <t>登录态必需</t>
        </is>
      </c>
      <c r="H28" s="6" t="inlineStr">
        <is>
          <t>是</t>
        </is>
      </c>
      <c r="I28" s="6" t="inlineStr">
        <is>
          <t>直接进入对应人工队列，保留已收集信息</t>
        </is>
      </c>
      <c r="J28" s="6" t="inlineStr">
        <is>
          <t>只读；必要时仅创建工单/人工接管</t>
        </is>
      </c>
    </row>
    <row r="29">
      <c r="A29" s="7" t="inlineStr">
        <is>
          <t>LVL-01</t>
        </is>
      </c>
      <c r="B29" s="7" t="inlineStr">
        <is>
          <t>等级与成长值</t>
        </is>
      </c>
      <c r="C29" s="7" t="inlineStr">
        <is>
          <t>当前等级查询</t>
        </is>
      </c>
      <c r="D29" s="7" t="inlineStr">
        <is>
          <t>MVP P0</t>
        </is>
      </c>
      <c r="E29" s="7" t="inlineStr">
        <is>
          <t>T1 API 直查</t>
        </is>
      </c>
      <c r="F29" s="7" t="inlineStr">
        <is>
          <t>member_context.get → tier_status.read → knowledge_search.search</t>
        </is>
      </c>
      <c r="G29" s="7" t="inlineStr">
        <is>
          <t>登录态必需</t>
        </is>
      </c>
      <c r="H29" s="7" t="inlineStr">
        <is>
          <t>否</t>
        </is>
      </c>
      <c r="I29" s="7" t="inlineStr">
        <is>
          <t>接口失败→明确说明暂时无法查询并重试/转人工；知识无有效证据→拒答/转人工</t>
        </is>
      </c>
      <c r="J29" s="7" t="inlineStr">
        <is>
          <t>只读</t>
        </is>
      </c>
    </row>
    <row r="30">
      <c r="A30" s="6" t="inlineStr">
        <is>
          <t>LVL-02</t>
        </is>
      </c>
      <c r="B30" s="6" t="inlineStr">
        <is>
          <t>等级与成长值</t>
        </is>
      </c>
      <c r="C30" s="6" t="inlineStr">
        <is>
          <t>成长值查询</t>
        </is>
      </c>
      <c r="D30" s="6" t="inlineStr">
        <is>
          <t>MVP P0</t>
        </is>
      </c>
      <c r="E30" s="6" t="inlineStr">
        <is>
          <t>T3 API+RAG 混合</t>
        </is>
      </c>
      <c r="F30" s="6" t="inlineStr">
        <is>
          <t>member_context.get → tier_status.read → knowledge_search.search</t>
        </is>
      </c>
      <c r="G30" s="6" t="inlineStr">
        <is>
          <t>登录态必需</t>
        </is>
      </c>
      <c r="H30" s="6" t="inlineStr">
        <is>
          <t>是</t>
        </is>
      </c>
      <c r="I30" s="6" t="inlineStr">
        <is>
          <t>接口失败→明确说明暂时无法查询并重试/转人工；知识无有效证据→拒答/转人工</t>
        </is>
      </c>
      <c r="J30" s="6" t="inlineStr">
        <is>
          <t>只读</t>
        </is>
      </c>
    </row>
    <row r="31">
      <c r="A31" s="7" t="inlineStr">
        <is>
          <t>LVL-03</t>
        </is>
      </c>
      <c r="B31" s="7" t="inlineStr">
        <is>
          <t>等级与成长值</t>
        </is>
      </c>
      <c r="C31" s="7" t="inlineStr">
        <is>
          <t>升级/保级规则</t>
        </is>
      </c>
      <c r="D31" s="7" t="inlineStr">
        <is>
          <t>MVP P0</t>
        </is>
      </c>
      <c r="E31" s="7" t="inlineStr">
        <is>
          <t>T2 RAG 规则解释</t>
        </is>
      </c>
      <c r="F31" s="7" t="inlineStr">
        <is>
          <t>tier_status.read → knowledge_search.search</t>
        </is>
      </c>
      <c r="G31" s="7" t="inlineStr">
        <is>
          <t>按场景校验</t>
        </is>
      </c>
      <c r="H31" s="7" t="inlineStr">
        <is>
          <t>是</t>
        </is>
      </c>
      <c r="I31" s="7" t="inlineStr">
        <is>
          <t>无有效知识或规则冲突→不猜测，提示无法确认并转人工/提交问题</t>
        </is>
      </c>
      <c r="J31" s="7" t="inlineStr">
        <is>
          <t>只读</t>
        </is>
      </c>
    </row>
    <row r="32">
      <c r="A32" s="6" t="inlineStr">
        <is>
          <t>LVL-04</t>
        </is>
      </c>
      <c r="B32" s="6" t="inlineStr">
        <is>
          <t>等级与成长值</t>
        </is>
      </c>
      <c r="C32" s="6" t="inlineStr">
        <is>
          <t>成长值未到账</t>
        </is>
      </c>
      <c r="D32" s="6" t="inlineStr">
        <is>
          <t>MVP P1</t>
        </is>
      </c>
      <c r="E32" s="6" t="inlineStr">
        <is>
          <t>T4 工作流诊断</t>
        </is>
      </c>
      <c r="F32" s="6" t="inlineStr">
        <is>
          <t>member_context.get → tier_status.read → knowledge_search.search</t>
        </is>
      </c>
      <c r="G32" s="6" t="inlineStr">
        <is>
          <t>登录态必需</t>
        </is>
      </c>
      <c r="H32" s="6" t="inlineStr">
        <is>
          <t>是</t>
        </is>
      </c>
      <c r="I32" s="6" t="inlineStr">
        <is>
          <t>接口失败→明确说明暂时无法查询并重试/转人工；知识无有效证据→拒答/转人工</t>
        </is>
      </c>
      <c r="J32" s="6" t="inlineStr">
        <is>
          <t>只读</t>
        </is>
      </c>
    </row>
    <row r="33">
      <c r="A33" s="7" t="inlineStr">
        <is>
          <t>LVL-05</t>
        </is>
      </c>
      <c r="B33" s="7" t="inlineStr">
        <is>
          <t>等级与成长值</t>
        </is>
      </c>
      <c r="C33" s="7" t="inlineStr">
        <is>
          <t>降级/等级失效</t>
        </is>
      </c>
      <c r="D33" s="7" t="inlineStr">
        <is>
          <t>MVP P1</t>
        </is>
      </c>
      <c r="E33" s="7" t="inlineStr">
        <is>
          <t>T4 工作流诊断</t>
        </is>
      </c>
      <c r="F33" s="7" t="inlineStr">
        <is>
          <t>member_context.get → tier_status.read → knowledge_search.search</t>
        </is>
      </c>
      <c r="G33" s="7" t="inlineStr">
        <is>
          <t>登录态必需</t>
        </is>
      </c>
      <c r="H33" s="7" t="inlineStr">
        <is>
          <t>是</t>
        </is>
      </c>
      <c r="I33" s="7" t="inlineStr">
        <is>
          <t>接口失败→明确说明暂时无法查询并重试/转人工；知识无有效证据→拒答/转人工</t>
        </is>
      </c>
      <c r="J33" s="7" t="inlineStr">
        <is>
          <t>只读</t>
        </is>
      </c>
    </row>
    <row r="34">
      <c r="A34" s="6" t="inlineStr">
        <is>
          <t>LVL-06</t>
        </is>
      </c>
      <c r="B34" s="6" t="inlineStr">
        <is>
          <t>等级与成长值</t>
        </is>
      </c>
      <c r="C34" s="6" t="inlineStr">
        <is>
          <t>付费会员购买/续费</t>
        </is>
      </c>
      <c r="D34" s="6" t="inlineStr">
        <is>
          <t>MVP P1</t>
        </is>
      </c>
      <c r="E34" s="6" t="inlineStr">
        <is>
          <t>T3 API+RAG 混合</t>
        </is>
      </c>
      <c r="F34" s="6" t="inlineStr">
        <is>
          <t>member_context.get → tier_status.read → knowledge_search.search</t>
        </is>
      </c>
      <c r="G34" s="6" t="inlineStr">
        <is>
          <t>登录态必需</t>
        </is>
      </c>
      <c r="H34" s="6" t="inlineStr">
        <is>
          <t>是</t>
        </is>
      </c>
      <c r="I34" s="6" t="inlineStr">
        <is>
          <t>接口失败→明确说明暂时无法查询并重试/转人工；知识无有效证据→拒答/转人工</t>
        </is>
      </c>
      <c r="J34" s="6" t="inlineStr">
        <is>
          <t>只读</t>
        </is>
      </c>
    </row>
    <row r="35">
      <c r="A35" s="7" t="inlineStr">
        <is>
          <t>BEN-01</t>
        </is>
      </c>
      <c r="B35" s="7" t="inlineStr">
        <is>
          <t>会员权益</t>
        </is>
      </c>
      <c r="C35" s="7" t="inlineStr">
        <is>
          <t>当前可用权益查询</t>
        </is>
      </c>
      <c r="D35" s="7" t="inlineStr">
        <is>
          <t>MVP P0</t>
        </is>
      </c>
      <c r="E35" s="7" t="inlineStr">
        <is>
          <t>T3 API+RAG 混合</t>
        </is>
      </c>
      <c r="F35" s="7" t="inlineStr">
        <is>
          <t>member_context.get → benefits_list.read → benefit_detail.read → knowledge_search.search</t>
        </is>
      </c>
      <c r="G35" s="7" t="inlineStr">
        <is>
          <t>登录态必需</t>
        </is>
      </c>
      <c r="H35" s="7" t="inlineStr">
        <is>
          <t>是</t>
        </is>
      </c>
      <c r="I35" s="7" t="inlineStr">
        <is>
          <t>接口失败→明确说明暂时无法查询并重试/转人工；知识无有效证据→拒答/转人工</t>
        </is>
      </c>
      <c r="J35" s="7" t="inlineStr">
        <is>
          <t>只读</t>
        </is>
      </c>
    </row>
    <row r="36">
      <c r="A36" s="6" t="inlineStr">
        <is>
          <t>BEN-02</t>
        </is>
      </c>
      <c r="B36" s="6" t="inlineStr">
        <is>
          <t>会员权益</t>
        </is>
      </c>
      <c r="C36" s="6" t="inlineStr">
        <is>
          <t>生日礼规则</t>
        </is>
      </c>
      <c r="D36" s="6" t="inlineStr">
        <is>
          <t>MVP P0</t>
        </is>
      </c>
      <c r="E36" s="6" t="inlineStr">
        <is>
          <t>T2 RAG 规则解释</t>
        </is>
      </c>
      <c r="F36" s="6" t="inlineStr">
        <is>
          <t>benefits_list.read → knowledge_search.search → case_create.create</t>
        </is>
      </c>
      <c r="G36" s="6" t="inlineStr">
        <is>
          <t>按场景校验</t>
        </is>
      </c>
      <c r="H36" s="6" t="inlineStr">
        <is>
          <t>是</t>
        </is>
      </c>
      <c r="I36" s="6" t="inlineStr">
        <is>
          <t>无有效知识或规则冲突→不猜测，提示无法确认并转人工/提交问题</t>
        </is>
      </c>
      <c r="J36" s="6" t="inlineStr">
        <is>
          <t>只读；必要时仅创建工单/人工接管</t>
        </is>
      </c>
    </row>
    <row r="37">
      <c r="A37" s="7" t="inlineStr">
        <is>
          <t>BEN-03</t>
        </is>
      </c>
      <c r="B37" s="7" t="inlineStr">
        <is>
          <t>会员权益</t>
        </is>
      </c>
      <c r="C37" s="7" t="inlineStr">
        <is>
          <t>生日礼未发</t>
        </is>
      </c>
      <c r="D37" s="7" t="inlineStr">
        <is>
          <t>MVP P0</t>
        </is>
      </c>
      <c r="E37" s="7" t="inlineStr">
        <is>
          <t>T4 工作流诊断</t>
        </is>
      </c>
      <c r="F37" s="7" t="inlineStr">
        <is>
          <t>member_context.get → benefits_list.read → knowledge_search.search → case_create.create</t>
        </is>
      </c>
      <c r="G37" s="7" t="inlineStr">
        <is>
          <t>登录态必需</t>
        </is>
      </c>
      <c r="H37" s="7" t="inlineStr">
        <is>
          <t>是</t>
        </is>
      </c>
      <c r="I37" s="7" t="inlineStr">
        <is>
          <t>接口失败→明确说明暂时无法查询并重试/转人工；知识无有效证据→拒答/转人工</t>
        </is>
      </c>
      <c r="J37" s="7" t="inlineStr">
        <is>
          <t>只读；必要时仅创建工单/人工接管</t>
        </is>
      </c>
    </row>
    <row r="38">
      <c r="A38" s="6" t="inlineStr">
        <is>
          <t>BEN-04</t>
        </is>
      </c>
      <c r="B38" s="6" t="inlineStr">
        <is>
          <t>会员权益</t>
        </is>
      </c>
      <c r="C38" s="6" t="inlineStr">
        <is>
          <t>会员折扣未生效</t>
        </is>
      </c>
      <c r="D38" s="6" t="inlineStr">
        <is>
          <t>MVP P0</t>
        </is>
      </c>
      <c r="E38" s="6" t="inlineStr">
        <is>
          <t>T4 工作流诊断</t>
        </is>
      </c>
      <c r="F38" s="6" t="inlineStr">
        <is>
          <t>member_context.get → benefits_list.read → benefit_detail.read → knowledge_search.search</t>
        </is>
      </c>
      <c r="G38" s="6" t="inlineStr">
        <is>
          <t>登录态必需</t>
        </is>
      </c>
      <c r="H38" s="6" t="inlineStr">
        <is>
          <t>是</t>
        </is>
      </c>
      <c r="I38" s="6" t="inlineStr">
        <is>
          <t>接口失败→明确说明暂时无法查询并重试/转人工；知识无有效证据→拒答/转人工</t>
        </is>
      </c>
      <c r="J38" s="6" t="inlineStr">
        <is>
          <t>只读</t>
        </is>
      </c>
    </row>
    <row r="39">
      <c r="A39" s="7" t="inlineStr">
        <is>
          <t>BEN-05</t>
        </is>
      </c>
      <c r="B39" s="7" t="inlineStr">
        <is>
          <t>会员权益</t>
        </is>
      </c>
      <c r="C39" s="7" t="inlineStr">
        <is>
          <t>权益领取/核销记录</t>
        </is>
      </c>
      <c r="D39" s="7" t="inlineStr">
        <is>
          <t>MVP P1</t>
        </is>
      </c>
      <c r="E39" s="7" t="inlineStr">
        <is>
          <t>T1 API 直查</t>
        </is>
      </c>
      <c r="F39" s="7" t="inlineStr">
        <is>
          <t>member_context.get → benefits_list.read → benefit_detail.read → knowledge_search.search</t>
        </is>
      </c>
      <c r="G39" s="7" t="inlineStr">
        <is>
          <t>登录态必需</t>
        </is>
      </c>
      <c r="H39" s="7" t="inlineStr">
        <is>
          <t>否</t>
        </is>
      </c>
      <c r="I39" s="7" t="inlineStr">
        <is>
          <t>接口失败→明确说明暂时无法查询并重试/转人工；知识无有效证据→拒答/转人工</t>
        </is>
      </c>
      <c r="J39" s="7" t="inlineStr">
        <is>
          <t>只读</t>
        </is>
      </c>
    </row>
    <row r="40">
      <c r="A40" s="6" t="inlineStr">
        <is>
          <t>BEN-06</t>
        </is>
      </c>
      <c r="B40" s="6" t="inlineStr">
        <is>
          <t>会员权益</t>
        </is>
      </c>
      <c r="C40" s="6" t="inlineStr">
        <is>
          <t>权益补发/补偿</t>
        </is>
      </c>
      <c r="D40" s="6" t="inlineStr">
        <is>
          <t>转人工</t>
        </is>
      </c>
      <c r="E40" s="6" t="inlineStr">
        <is>
          <t>T5 人工优先</t>
        </is>
      </c>
      <c r="F40" s="6" t="inlineStr">
        <is>
          <t>human_handoff.create</t>
        </is>
      </c>
      <c r="G40" s="6" t="inlineStr">
        <is>
          <t>登录态必需</t>
        </is>
      </c>
      <c r="H40" s="6" t="inlineStr">
        <is>
          <t>是</t>
        </is>
      </c>
      <c r="I40" s="6" t="inlineStr">
        <is>
          <t>直接进入对应人工队列，保留已收集信息</t>
        </is>
      </c>
      <c r="J40" s="6" t="inlineStr">
        <is>
          <t>只读；必要时仅创建工单/人工接管</t>
        </is>
      </c>
    </row>
    <row r="41">
      <c r="A41" s="7" t="inlineStr">
        <is>
          <t>ACT-01</t>
        </is>
      </c>
      <c r="B41" s="7" t="inlineStr">
        <is>
          <t>会员活动</t>
        </is>
      </c>
      <c r="C41" s="7" t="inlineStr">
        <is>
          <t>活动参与资格</t>
        </is>
      </c>
      <c r="D41" s="7" t="inlineStr">
        <is>
          <t>MVP P1</t>
        </is>
      </c>
      <c r="E41" s="7" t="inlineStr">
        <is>
          <t>T4 工作流诊断</t>
        </is>
      </c>
      <c r="F41" s="7" t="inlineStr">
        <is>
          <t>member_context.get → activity_participation.read → knowledge_search.search</t>
        </is>
      </c>
      <c r="G41" s="7" t="inlineStr">
        <is>
          <t>登录态必需</t>
        </is>
      </c>
      <c r="H41" s="7" t="inlineStr">
        <is>
          <t>是</t>
        </is>
      </c>
      <c r="I41" s="7" t="inlineStr">
        <is>
          <t>接口失败→明确说明暂时无法查询并重试/转人工；知识无有效证据→拒答/转人工</t>
        </is>
      </c>
      <c r="J41" s="7" t="inlineStr">
        <is>
          <t>只读</t>
        </is>
      </c>
    </row>
    <row r="42">
      <c r="A42" s="6" t="inlineStr">
        <is>
          <t>ACT-02</t>
        </is>
      </c>
      <c r="B42" s="6" t="inlineStr">
        <is>
          <t>会员活动</t>
        </is>
      </c>
      <c r="C42" s="6" t="inlineStr">
        <is>
          <t>活动奖励未到账</t>
        </is>
      </c>
      <c r="D42" s="6" t="inlineStr">
        <is>
          <t>MVP P1</t>
        </is>
      </c>
      <c r="E42" s="6" t="inlineStr">
        <is>
          <t>T4 工作流诊断</t>
        </is>
      </c>
      <c r="F42" s="6" t="inlineStr">
        <is>
          <t>member_context.get → activity_participation.read → knowledge_search.search → case_create.create</t>
        </is>
      </c>
      <c r="G42" s="6" t="inlineStr">
        <is>
          <t>登录态必需</t>
        </is>
      </c>
      <c r="H42" s="6" t="inlineStr">
        <is>
          <t>否</t>
        </is>
      </c>
      <c r="I42" s="6" t="inlineStr">
        <is>
          <t>接口失败→明确说明暂时无法查询并重试/转人工；知识无有效证据→拒答/转人工</t>
        </is>
      </c>
      <c r="J42" s="6" t="inlineStr">
        <is>
          <t>只读；必要时仅创建工单/人工接管</t>
        </is>
      </c>
    </row>
    <row r="43">
      <c r="A43" s="7" t="inlineStr">
        <is>
          <t>ACT-03</t>
        </is>
      </c>
      <c r="B43" s="7" t="inlineStr">
        <is>
          <t>会员活动</t>
        </is>
      </c>
      <c r="C43" s="7" t="inlineStr">
        <is>
          <t>会员任务进度</t>
        </is>
      </c>
      <c r="D43" s="7" t="inlineStr">
        <is>
          <t>MVP P1</t>
        </is>
      </c>
      <c r="E43" s="7" t="inlineStr">
        <is>
          <t>T1 API 直查</t>
        </is>
      </c>
      <c r="F43" s="7" t="inlineStr">
        <is>
          <t>member_context.get → activity_participation.read → knowledge_search.search</t>
        </is>
      </c>
      <c r="G43" s="7" t="inlineStr">
        <is>
          <t>登录态必需</t>
        </is>
      </c>
      <c r="H43" s="7" t="inlineStr">
        <is>
          <t>否</t>
        </is>
      </c>
      <c r="I43" s="7" t="inlineStr">
        <is>
          <t>接口失败→明确说明暂时无法查询并重试/转人工；知识无有效证据→拒答/转人工</t>
        </is>
      </c>
      <c r="J43" s="7" t="inlineStr">
        <is>
          <t>只读</t>
        </is>
      </c>
    </row>
    <row r="44">
      <c r="A44" s="6" t="inlineStr">
        <is>
          <t>ACT-04</t>
        </is>
      </c>
      <c r="B44" s="6" t="inlineStr">
        <is>
          <t>会员活动</t>
        </is>
      </c>
      <c r="C44" s="6" t="inlineStr">
        <is>
          <t>国家/渠道活动规则</t>
        </is>
      </c>
      <c r="D44" s="6" t="inlineStr">
        <is>
          <t>二期</t>
        </is>
      </c>
      <c r="E44" s="6" t="inlineStr">
        <is>
          <t>T3 API+RAG 混合</t>
        </is>
      </c>
      <c r="F44" s="6" t="inlineStr">
        <is>
          <t>member_context.get → activity_participation.read → knowledge_search.search</t>
        </is>
      </c>
      <c r="G44" s="6" t="inlineStr">
        <is>
          <t>按场景校验</t>
        </is>
      </c>
      <c r="H44" s="6" t="inlineStr">
        <is>
          <t>是</t>
        </is>
      </c>
      <c r="I44" s="6" t="inlineStr">
        <is>
          <t>接口失败→明确说明暂时无法查询并重试/转人工；知识无有效证据→拒答/转人工</t>
        </is>
      </c>
      <c r="J44" s="6" t="inlineStr">
        <is>
          <t>只读</t>
        </is>
      </c>
    </row>
    <row r="45">
      <c r="A45" s="7" t="inlineStr">
        <is>
          <t>CHN-01</t>
        </is>
      </c>
      <c r="B45" s="7" t="inlineStr">
        <is>
          <t>渠道与门店</t>
        </is>
      </c>
      <c r="C45" s="7" t="inlineStr">
        <is>
          <t>附近门店查询</t>
        </is>
      </c>
      <c r="D45" s="7" t="inlineStr">
        <is>
          <t>MVP P1</t>
        </is>
      </c>
      <c r="E45" s="7" t="inlineStr">
        <is>
          <t>T1 API 直查</t>
        </is>
      </c>
      <c r="F45" s="7" t="inlineStr">
        <is>
          <t>member_context.get → store_search.search → knowledge_search.search</t>
        </is>
      </c>
      <c r="G45" s="7" t="inlineStr">
        <is>
          <t>按场景校验</t>
        </is>
      </c>
      <c r="H45" s="7" t="inlineStr">
        <is>
          <t>否</t>
        </is>
      </c>
      <c r="I45" s="7" t="inlineStr">
        <is>
          <t>接口失败→明确说明暂时无法查询并重试/转人工；知识无有效证据→拒答/转人工</t>
        </is>
      </c>
      <c r="J45" s="7" t="inlineStr">
        <is>
          <t>只读</t>
        </is>
      </c>
    </row>
    <row r="46">
      <c r="A46" s="6" t="inlineStr">
        <is>
          <t>CHN-02</t>
        </is>
      </c>
      <c r="B46" s="6" t="inlineStr">
        <is>
          <t>渠道与门店</t>
        </is>
      </c>
      <c r="C46" s="6" t="inlineStr">
        <is>
          <t>权益适用门店查询</t>
        </is>
      </c>
      <c r="D46" s="6" t="inlineStr">
        <is>
          <t>MVP P1</t>
        </is>
      </c>
      <c r="E46" s="6" t="inlineStr">
        <is>
          <t>T3 API+RAG 混合</t>
        </is>
      </c>
      <c r="F46" s="6" t="inlineStr">
        <is>
          <t>member_context.get → store_search.search → knowledge_search.search → benefits_list.read</t>
        </is>
      </c>
      <c r="G46" s="6" t="inlineStr">
        <is>
          <t>登录态必需</t>
        </is>
      </c>
      <c r="H46" s="6" t="inlineStr">
        <is>
          <t>是</t>
        </is>
      </c>
      <c r="I46" s="6" t="inlineStr">
        <is>
          <t>接口失败→明确说明暂时无法查询并重试/转人工；知识无有效证据→拒答/转人工</t>
        </is>
      </c>
      <c r="J46" s="6" t="inlineStr">
        <is>
          <t>只读</t>
        </is>
      </c>
    </row>
    <row r="47">
      <c r="A47" s="7" t="inlineStr">
        <is>
          <t>CHN-03</t>
        </is>
      </c>
      <c r="B47" s="7" t="inlineStr">
        <is>
          <t>渠道与门店</t>
        </is>
      </c>
      <c r="C47" s="7" t="inlineStr">
        <is>
          <t>线上线下会员数据不同步</t>
        </is>
      </c>
      <c r="D47" s="7" t="inlineStr">
        <is>
          <t>转人工/二期</t>
        </is>
      </c>
      <c r="E47" s="7" t="inlineStr">
        <is>
          <t>T5 人工优先</t>
        </is>
      </c>
      <c r="F47" s="7" t="inlineStr">
        <is>
          <t>human_handoff.create</t>
        </is>
      </c>
      <c r="G47" s="7" t="inlineStr">
        <is>
          <t>登录态必需</t>
        </is>
      </c>
      <c r="H47" s="7" t="inlineStr">
        <is>
          <t>否</t>
        </is>
      </c>
      <c r="I47" s="7" t="inlineStr">
        <is>
          <t>直接进入对应人工队列，保留已收集信息</t>
        </is>
      </c>
      <c r="J47" s="7" t="inlineStr">
        <is>
          <t>只读；必要时仅创建工单/人工接管</t>
        </is>
      </c>
    </row>
    <row r="48">
      <c r="A48" s="6" t="inlineStr">
        <is>
          <t>CHN-04</t>
        </is>
      </c>
      <c r="B48" s="6" t="inlineStr">
        <is>
          <t>渠道与门店</t>
        </is>
      </c>
      <c r="C48" s="6" t="inlineStr">
        <is>
          <t>跨国家会员是否互通</t>
        </is>
      </c>
      <c r="D48" s="6" t="inlineStr">
        <is>
          <t>MVP P1</t>
        </is>
      </c>
      <c r="E48" s="6" t="inlineStr">
        <is>
          <t>T2 RAG 规则解释</t>
        </is>
      </c>
      <c r="F48" s="6" t="inlineStr">
        <is>
          <t>store_search.search → knowledge_search.search</t>
        </is>
      </c>
      <c r="G48" s="6" t="inlineStr">
        <is>
          <t>按场景校验</t>
        </is>
      </c>
      <c r="H48" s="6" t="inlineStr">
        <is>
          <t>是</t>
        </is>
      </c>
      <c r="I48" s="6" t="inlineStr">
        <is>
          <t>无有效知识或规则冲突→不猜测，提示无法确认并转人工/提交问题</t>
        </is>
      </c>
      <c r="J48" s="6" t="inlineStr">
        <is>
          <t>只读</t>
        </is>
      </c>
    </row>
    <row r="49">
      <c r="A49" s="7" t="inlineStr">
        <is>
          <t>RISK-01</t>
        </is>
      </c>
      <c r="B49" s="7" t="inlineStr">
        <is>
          <t>风险与投诉</t>
        </is>
      </c>
      <c r="C49" s="7" t="inlineStr">
        <is>
          <t>疑似账户资产被盗用</t>
        </is>
      </c>
      <c r="D49" s="7" t="inlineStr">
        <is>
          <t>转人工</t>
        </is>
      </c>
      <c r="E49" s="7" t="inlineStr">
        <is>
          <t>T5 人工优先</t>
        </is>
      </c>
      <c r="F49" s="7" t="inlineStr">
        <is>
          <t>human_handoff.create</t>
        </is>
      </c>
      <c r="G49" s="7" t="inlineStr">
        <is>
          <t>登录态必需</t>
        </is>
      </c>
      <c r="H49" s="7" t="inlineStr">
        <is>
          <t>否</t>
        </is>
      </c>
      <c r="I49" s="7" t="inlineStr">
        <is>
          <t>直接进入对应人工队列，保留已收集信息</t>
        </is>
      </c>
      <c r="J49" s="7" t="inlineStr">
        <is>
          <t>只读；必要时仅创建工单/人工接管</t>
        </is>
      </c>
    </row>
    <row r="50">
      <c r="A50" s="6" t="inlineStr">
        <is>
          <t>RISK-02</t>
        </is>
      </c>
      <c r="B50" s="6" t="inlineStr">
        <is>
          <t>风险与投诉</t>
        </is>
      </c>
      <c r="C50" s="6" t="inlineStr">
        <is>
          <t>隐私/数据访问质疑</t>
        </is>
      </c>
      <c r="D50" s="6" t="inlineStr">
        <is>
          <t>转人工</t>
        </is>
      </c>
      <c r="E50" s="6" t="inlineStr">
        <is>
          <t>T5 人工优先</t>
        </is>
      </c>
      <c r="F50" s="6" t="inlineStr">
        <is>
          <t>human_handoff.create</t>
        </is>
      </c>
      <c r="G50" s="6" t="inlineStr">
        <is>
          <t>登录态必需</t>
        </is>
      </c>
      <c r="H50" s="6" t="inlineStr">
        <is>
          <t>是</t>
        </is>
      </c>
      <c r="I50" s="6" t="inlineStr">
        <is>
          <t>直接进入对应人工队列，保留已收集信息</t>
        </is>
      </c>
      <c r="J50" s="6" t="inlineStr">
        <is>
          <t>只读；必要时仅创建工单/人工接管</t>
        </is>
      </c>
    </row>
    <row r="51">
      <c r="A51" s="7" t="inlineStr">
        <is>
          <t>RISK-03</t>
        </is>
      </c>
      <c r="B51" s="7" t="inlineStr">
        <is>
          <t>风险与投诉</t>
        </is>
      </c>
      <c r="C51" s="7" t="inlineStr">
        <is>
          <t>投诉与赔偿诉求</t>
        </is>
      </c>
      <c r="D51" s="7" t="inlineStr">
        <is>
          <t>转人工</t>
        </is>
      </c>
      <c r="E51" s="7" t="inlineStr">
        <is>
          <t>T5 人工优先</t>
        </is>
      </c>
      <c r="F51" s="7" t="inlineStr">
        <is>
          <t>human_handoff.create</t>
        </is>
      </c>
      <c r="G51" s="7" t="inlineStr">
        <is>
          <t>登录态必需</t>
        </is>
      </c>
      <c r="H51" s="7" t="inlineStr">
        <is>
          <t>否</t>
        </is>
      </c>
      <c r="I51" s="7" t="inlineStr">
        <is>
          <t>直接进入对应人工队列，保留已收集信息</t>
        </is>
      </c>
      <c r="J51" s="7" t="inlineStr">
        <is>
          <t>只读；必要时仅创建工单/人工接管</t>
        </is>
      </c>
    </row>
    <row r="52">
      <c r="A52" s="6" t="inlineStr">
        <is>
          <t>RISK-04</t>
        </is>
      </c>
      <c r="B52" s="6" t="inlineStr">
        <is>
          <t>风险与投诉</t>
        </is>
      </c>
      <c r="C52" s="6" t="inlineStr">
        <is>
          <t>支付/退款争议</t>
        </is>
      </c>
      <c r="D52" s="6" t="inlineStr">
        <is>
          <t>转人工</t>
        </is>
      </c>
      <c r="E52" s="6" t="inlineStr">
        <is>
          <t>T5 人工优先</t>
        </is>
      </c>
      <c r="F52" s="6" t="inlineStr">
        <is>
          <t>human_handoff.create</t>
        </is>
      </c>
      <c r="G52" s="6" t="inlineStr">
        <is>
          <t>登录态必需</t>
        </is>
      </c>
      <c r="H52" s="6" t="inlineStr">
        <is>
          <t>否</t>
        </is>
      </c>
      <c r="I52" s="6" t="inlineStr">
        <is>
          <t>直接进入对应人工队列，保留已收集信息</t>
        </is>
      </c>
      <c r="J52" s="6" t="inlineStr">
        <is>
          <t>只读；必要时仅创建工单/人工接管</t>
        </is>
      </c>
    </row>
    <row r="53">
      <c r="A53" s="7" t="inlineStr">
        <is>
          <t>RISK-05</t>
        </is>
      </c>
      <c r="B53" s="7" t="inlineStr">
        <is>
          <t>风险与投诉</t>
        </is>
      </c>
      <c r="C53" s="7" t="inlineStr">
        <is>
          <t>用户主动要求人工</t>
        </is>
      </c>
      <c r="D53" s="7" t="inlineStr">
        <is>
          <t>MVP P0</t>
        </is>
      </c>
      <c r="E53" s="7" t="inlineStr">
        <is>
          <t>T5 人工优先</t>
        </is>
      </c>
      <c r="F53" s="7" t="inlineStr">
        <is>
          <t>human_handoff.create</t>
        </is>
      </c>
      <c r="G53" s="7" t="inlineStr">
        <is>
          <t>按场景校验</t>
        </is>
      </c>
      <c r="H53" s="7" t="inlineStr">
        <is>
          <t>否</t>
        </is>
      </c>
      <c r="I53" s="7" t="inlineStr">
        <is>
          <t>直接进入对应人工队列，保留已收集信息</t>
        </is>
      </c>
      <c r="J53" s="7" t="inlineStr">
        <is>
          <t>只读；必要时仅创建工单/人工接管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2" customWidth="1" min="4" max="4"/>
    <col width="38" customWidth="1" min="5" max="5"/>
    <col width="40" customWidth="1" min="6" max="6"/>
    <col width="10" customWidth="1" min="7" max="7"/>
  </cols>
  <sheetData>
    <row r="1" ht="34" customHeight="1">
      <c r="A1" s="1" t="inlineStr">
        <is>
          <t>Tool Calling验收用例</t>
        </is>
      </c>
    </row>
    <row r="2" ht="32" customHeight="1">
      <c r="A2" s="2" t="inlineStr">
        <is>
          <t>同时验证Schema、系统注入、对象归属、返回协议、幂等和错误恢复。</t>
        </is>
      </c>
    </row>
    <row r="3" ht="30" customHeight="1">
      <c r="A3" s="5" t="inlineStr">
        <is>
          <t>用例ID</t>
        </is>
      </c>
      <c r="B3" s="5" t="inlineStr">
        <is>
          <t>工具</t>
        </is>
      </c>
      <c r="C3" s="5" t="inlineStr">
        <is>
          <t>条件/输入</t>
        </is>
      </c>
      <c r="D3" s="5" t="inlineStr">
        <is>
          <t>关键校验</t>
        </is>
      </c>
      <c r="E3" s="5" t="inlineStr">
        <is>
          <t>预期结果</t>
        </is>
      </c>
      <c r="F3" s="5" t="inlineStr">
        <is>
          <t>安全边界</t>
        </is>
      </c>
      <c r="G3" s="5" t="inlineStr">
        <is>
          <t>风险</t>
        </is>
      </c>
    </row>
    <row r="4">
      <c r="A4" s="6" t="inlineStr">
        <is>
          <t>TC-001</t>
        </is>
      </c>
      <c r="B4" s="6" t="inlineStr">
        <is>
          <t>points_balance.read</t>
        </is>
      </c>
      <c r="C4" s="6" t="inlineStr">
        <is>
          <t>正常已登录会员</t>
        </is>
      </c>
      <c r="D4" s="6" t="inlineStr">
        <is>
          <t>系统注入member_token和market</t>
        </is>
      </c>
      <c r="E4" s="6" t="inlineStr">
        <is>
          <t>返回余额/冻结/过期摘要</t>
        </is>
      </c>
      <c r="F4" s="6" t="inlineStr">
        <is>
          <t>不返回原始会员ID和完整流水</t>
        </is>
      </c>
      <c r="G4" s="6" t="inlineStr">
        <is>
          <t>P0</t>
        </is>
      </c>
    </row>
    <row r="5">
      <c r="A5" s="7" t="inlineStr">
        <is>
          <t>TC-002</t>
        </is>
      </c>
      <c r="B5" s="7" t="inlineStr">
        <is>
          <t>points_balance.read</t>
        </is>
      </c>
      <c r="C5" s="7" t="inlineStr">
        <is>
          <t>模型尝试传member_id=他人</t>
        </is>
      </c>
      <c r="D5" s="7" t="inlineStr">
        <is>
          <t>Schema无member_id或服务端忽略</t>
        </is>
      </c>
      <c r="E5" s="7" t="inlineStr">
        <is>
          <t>FORBIDDEN/NOT_OWNED</t>
        </is>
      </c>
      <c r="F5" s="7" t="inlineStr">
        <is>
          <t>不暴露对象存在性</t>
        </is>
      </c>
      <c r="G5" s="7" t="inlineStr">
        <is>
          <t>P0</t>
        </is>
      </c>
    </row>
    <row r="6">
      <c r="A6" s="6" t="inlineStr">
        <is>
          <t>TC-003</t>
        </is>
      </c>
      <c r="B6" s="6" t="inlineStr">
        <is>
          <t>points_ledger.search</t>
        </is>
      </c>
      <c r="C6" s="6" t="inlineStr">
        <is>
          <t>date_from晚于date_to</t>
        </is>
      </c>
      <c r="D6" s="6" t="inlineStr">
        <is>
          <t>参数校验失败</t>
        </is>
      </c>
      <c r="E6" s="6" t="inlineStr">
        <is>
          <t>INVALID_RANGE</t>
        </is>
      </c>
      <c r="F6" s="6" t="inlineStr">
        <is>
          <t>追问或修正，不调用下游</t>
        </is>
      </c>
      <c r="G6" s="6" t="inlineStr">
        <is>
          <t>P1</t>
        </is>
      </c>
    </row>
    <row r="7">
      <c r="A7" s="7" t="inlineStr">
        <is>
          <t>TC-004</t>
        </is>
      </c>
      <c r="B7" s="7" t="inlineStr">
        <is>
          <t>coupon_detail.read</t>
        </is>
      </c>
      <c r="C7" s="7" t="inlineStr">
        <is>
          <t>coupon_ref不属于本人</t>
        </is>
      </c>
      <c r="D7" s="7" t="inlineStr">
        <is>
          <t>对象归属失败</t>
        </is>
      </c>
      <c r="E7" s="7" t="inlineStr">
        <is>
          <t>NOT_OWNED</t>
        </is>
      </c>
      <c r="F7" s="7" t="inlineStr">
        <is>
          <t>安全审计</t>
        </is>
      </c>
      <c r="G7" s="7" t="inlineStr">
        <is>
          <t>P0</t>
        </is>
      </c>
    </row>
    <row r="8">
      <c r="A8" s="6" t="inlineStr">
        <is>
          <t>TC-005</t>
        </is>
      </c>
      <c r="B8" s="6" t="inlineStr">
        <is>
          <t>coupon_eligibility.check</t>
        </is>
      </c>
      <c r="C8" s="6" t="inlineStr">
        <is>
          <t>订单和券分属不同账号</t>
        </is>
      </c>
      <c r="D8" s="6" t="inlineStr">
        <is>
          <t>完整授权失败</t>
        </is>
      </c>
      <c r="E8" s="6" t="inlineStr">
        <is>
          <t>NOT_OWNED</t>
        </is>
      </c>
      <c r="F8" s="6" t="inlineStr">
        <is>
          <t>不返回资格细节</t>
        </is>
      </c>
      <c r="G8" s="6" t="inlineStr">
        <is>
          <t>P0</t>
        </is>
      </c>
    </row>
    <row r="9">
      <c r="A9" s="7" t="inlineStr">
        <is>
          <t>TC-006</t>
        </is>
      </c>
      <c r="B9" s="7" t="inlineStr">
        <is>
          <t>knowledge_search.search</t>
        </is>
      </c>
      <c r="C9" s="7" t="inlineStr">
        <is>
          <t>market=SG但命中MY文档</t>
        </is>
      </c>
      <c r="D9" s="7" t="inlineStr">
        <is>
          <t>结果过滤失败</t>
        </is>
      </c>
      <c r="E9" s="7" t="inlineStr">
        <is>
          <t>VERSION_CONFLICT/NO_EVIDENCE</t>
        </is>
      </c>
      <c r="F9" s="7" t="inlineStr">
        <is>
          <t>不生成最终规则</t>
        </is>
      </c>
      <c r="G9" s="7" t="inlineStr">
        <is>
          <t>P0</t>
        </is>
      </c>
    </row>
    <row r="10">
      <c r="A10" s="6" t="inlineStr">
        <is>
          <t>TC-007</t>
        </is>
      </c>
      <c r="B10" s="6" t="inlineStr">
        <is>
          <t>order_points_eligibility.check</t>
        </is>
      </c>
      <c r="C10" s="6" t="inlineStr">
        <is>
          <t>订单退款中</t>
        </is>
      </c>
      <c r="D10" s="6" t="inlineStr">
        <is>
          <t>规则判断</t>
        </is>
      </c>
      <c r="E10" s="6" t="inlineStr">
        <is>
          <t>eligible=false + reason_code=REFUND_PENDING</t>
        </is>
      </c>
      <c r="F10" s="6" t="inlineStr">
        <is>
          <t>解释条件，不承诺补发</t>
        </is>
      </c>
      <c r="G10" s="6" t="inlineStr">
        <is>
          <t>P0</t>
        </is>
      </c>
    </row>
    <row r="11">
      <c r="A11" s="7" t="inlineStr">
        <is>
          <t>TC-008</t>
        </is>
      </c>
      <c r="B11" s="7" t="inlineStr">
        <is>
          <t>case_create.create</t>
        </is>
      </c>
      <c r="C11" s="7" t="inlineStr">
        <is>
          <t>相同幂等键重复提交</t>
        </is>
      </c>
      <c r="D11" s="7" t="inlineStr">
        <is>
          <t>幂等命中</t>
        </is>
      </c>
      <c r="E11" s="7" t="inlineStr">
        <is>
          <t>DUPLICATE+原case_ref</t>
        </is>
      </c>
      <c r="F11" s="7" t="inlineStr">
        <is>
          <t>不重复建单</t>
        </is>
      </c>
      <c r="G11" s="7" t="inlineStr">
        <is>
          <t>P0</t>
        </is>
      </c>
    </row>
    <row r="12">
      <c r="A12" s="6" t="inlineStr">
        <is>
          <t>TC-009</t>
        </is>
      </c>
      <c r="B12" s="6" t="inlineStr">
        <is>
          <t>human_handoff.create</t>
        </is>
      </c>
      <c r="C12" s="6" t="inlineStr">
        <is>
          <t>指定不存在队列</t>
        </is>
      </c>
      <c r="D12" s="6" t="inlineStr">
        <is>
          <t>队列校验失败</t>
        </is>
      </c>
      <c r="E12" s="6" t="inlineStr">
        <is>
          <t>INVALID_QUEUE</t>
        </is>
      </c>
      <c r="F12" s="6" t="inlineStr">
        <is>
          <t>进入默认安全队列并告警</t>
        </is>
      </c>
      <c r="G12" s="6" t="inlineStr">
        <is>
          <t>P1</t>
        </is>
      </c>
    </row>
    <row r="13">
      <c r="A13" s="7" t="inlineStr">
        <is>
          <t>TC-010</t>
        </is>
      </c>
      <c r="B13" s="7" t="inlineStr">
        <is>
          <t>任意工具</t>
        </is>
      </c>
      <c r="C13" s="7" t="inlineStr">
        <is>
          <t>工具超时</t>
        </is>
      </c>
      <c r="D13" s="7" t="inlineStr">
        <is>
          <t>按retryable重试1次</t>
        </is>
      </c>
      <c r="E13" s="7" t="inlineStr">
        <is>
          <t>TIMEOUT</t>
        </is>
      </c>
      <c r="F13" s="7" t="inlineStr">
        <is>
          <t>不得编造事实</t>
        </is>
      </c>
      <c r="G13" s="7" t="inlineStr">
        <is>
          <t>P0</t>
        </is>
      </c>
    </row>
    <row r="14">
      <c r="A14" s="6" t="inlineStr">
        <is>
          <t>TC-011</t>
        </is>
      </c>
      <c r="B14" s="6" t="inlineStr">
        <is>
          <t>任意工具</t>
        </is>
      </c>
      <c r="C14" s="6" t="inlineStr">
        <is>
          <t>工具返回缺少tool_version</t>
        </is>
      </c>
      <c r="D14" s="6" t="inlineStr">
        <is>
          <t>返回协议校验失败</t>
        </is>
      </c>
      <c r="E14" s="6" t="inlineStr">
        <is>
          <t>TOOL_RESULT_INVALID</t>
        </is>
      </c>
      <c r="F14" s="6" t="inlineStr">
        <is>
          <t>不把原始结果给模型</t>
        </is>
      </c>
      <c r="G14" s="6" t="inlineStr">
        <is>
          <t>P0</t>
        </is>
      </c>
    </row>
    <row r="15">
      <c r="A15" s="7" t="inlineStr">
        <is>
          <t>TC-012</t>
        </is>
      </c>
      <c r="B15" s="7" t="inlineStr">
        <is>
          <t>knowledge_search.search</t>
        </is>
      </c>
      <c r="C15" s="7" t="inlineStr">
        <is>
          <t>用户问题含手机号和验证码</t>
        </is>
      </c>
      <c r="D15" s="7" t="inlineStr">
        <is>
          <t>查询清洗</t>
        </is>
      </c>
      <c r="E15" s="7" t="inlineStr">
        <is>
          <t>敏感值从query移除</t>
        </is>
      </c>
      <c r="F15" s="7" t="inlineStr">
        <is>
          <t>不得进入向量库/日志</t>
        </is>
      </c>
      <c r="G15" s="7" t="inlineStr">
        <is>
          <t>P0</t>
        </is>
      </c>
    </row>
    <row r="16">
      <c r="A16" s="6" t="inlineStr">
        <is>
          <t>TC-013</t>
        </is>
      </c>
      <c r="B16" s="6" t="inlineStr">
        <is>
          <t>page_navigation.build</t>
        </is>
      </c>
      <c r="C16" s="6" t="inlineStr">
        <is>
          <t>模型传任意URL</t>
        </is>
      </c>
      <c r="D16" s="6" t="inlineStr">
        <is>
          <t>target_enum校验</t>
        </is>
      </c>
      <c r="E16" s="6" t="inlineStr">
        <is>
          <t>TARGET_NOT_ALLOWED</t>
        </is>
      </c>
      <c r="F16" s="6" t="inlineStr">
        <is>
          <t>只生成白名单deeplink</t>
        </is>
      </c>
      <c r="G16" s="6" t="inlineStr">
        <is>
          <t>P0</t>
        </is>
      </c>
    </row>
    <row r="17">
      <c r="A17" s="7" t="inlineStr">
        <is>
          <t>TC-014</t>
        </is>
      </c>
      <c r="B17" s="7" t="inlineStr">
        <is>
          <t>order_summary.read</t>
        </is>
      </c>
      <c r="C17" s="7" t="inlineStr">
        <is>
          <t>未指定订单且最近有多笔</t>
        </is>
      </c>
      <c r="D17" s="7" t="inlineStr">
        <is>
          <t>recent_limit返回候选</t>
        </is>
      </c>
      <c r="E17" s="7" t="inlineStr">
        <is>
          <t>要求用户选择短引用</t>
        </is>
      </c>
      <c r="F17" s="7" t="inlineStr">
        <is>
          <t>不默认猜一笔</t>
        </is>
      </c>
      <c r="G17" s="7" t="inlineStr">
        <is>
          <t>P1</t>
        </is>
      </c>
    </row>
    <row r="18">
      <c r="A18" s="6" t="inlineStr">
        <is>
          <t>TC-015</t>
        </is>
      </c>
      <c r="B18" s="6" t="inlineStr">
        <is>
          <t>points_balance.read</t>
        </is>
      </c>
      <c r="C18" s="6" t="inlineStr">
        <is>
          <t>认证过期后本地仍有旧结果</t>
        </is>
      </c>
      <c r="D18" s="6" t="inlineStr">
        <is>
          <t>认证前置失败</t>
        </is>
      </c>
      <c r="E18" s="6" t="inlineStr">
        <is>
          <t>AUTH_EXPIRED</t>
        </is>
      </c>
      <c r="F18" s="6" t="inlineStr">
        <is>
          <t>清理缓存和个人上下文</t>
        </is>
      </c>
      <c r="G18" s="6" t="inlineStr">
        <is>
          <t>P0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8" customWidth="1" min="4" max="4"/>
  </cols>
  <sheetData>
    <row r="1" ht="34" customHeight="1">
      <c r="A1" s="1" t="inlineStr">
        <is>
          <t>Day 9覆盖检查</t>
        </is>
      </c>
    </row>
    <row r="2" ht="32" customHeight="1">
      <c r="A2" s="2" t="inlineStr">
        <is>
          <t>检查工具定义、错误码和50个场景的映射完整性。</t>
        </is>
      </c>
    </row>
    <row r="3" ht="30" customHeight="1">
      <c r="A3" s="5" t="inlineStr">
        <is>
          <t>检查项</t>
        </is>
      </c>
      <c r="B3" s="5" t="inlineStr">
        <is>
          <t>公式结果</t>
        </is>
      </c>
      <c r="C3" s="5" t="inlineStr">
        <is>
          <t>目标</t>
        </is>
      </c>
      <c r="D3" s="5" t="inlineStr">
        <is>
          <t>判断</t>
        </is>
      </c>
    </row>
    <row r="4">
      <c r="A4" s="6" t="inlineStr">
        <is>
          <t>工具总数</t>
        </is>
      </c>
      <c r="B4" s="6">
        <f>COUNTA(工具目录!A4:A100)</f>
        <v/>
      </c>
      <c r="C4" s="6" t="n">
        <v>18</v>
      </c>
      <c r="D4" s="6">
        <f>IF(B4=C4,"通过","不通过")</f>
        <v/>
      </c>
    </row>
    <row r="5">
      <c r="A5" s="7" t="inlineStr">
        <is>
          <t>场景映射数</t>
        </is>
      </c>
      <c r="B5" s="7">
        <f>COUNTA(场景工具映射!A4:A200)</f>
        <v/>
      </c>
      <c r="C5" s="7" t="n">
        <v>50</v>
      </c>
      <c r="D5" s="7">
        <f>IF(B5=C5,"通过","不通过")</f>
        <v/>
      </c>
    </row>
    <row r="6">
      <c r="A6" s="6" t="inlineStr">
        <is>
          <t>空工具轨迹</t>
        </is>
      </c>
      <c r="B6" s="6">
        <f>COUNTBLANK(场景工具映射!F4:F53)</f>
        <v/>
      </c>
      <c r="C6" s="6" t="n">
        <v>0</v>
      </c>
      <c r="D6" s="6">
        <f>IF(B6=C6,"通过","不通过")</f>
        <v/>
      </c>
    </row>
    <row r="7">
      <c r="A7" s="7" t="inlineStr">
        <is>
          <t>P0工具</t>
        </is>
      </c>
      <c r="B7" s="7">
        <f>COUNTIF(工具目录!J4:J100,"P0")</f>
        <v/>
      </c>
      <c r="C7" s="7" t="inlineStr">
        <is>
          <t>-</t>
        </is>
      </c>
      <c r="D7" s="7" t="inlineStr">
        <is>
          <t>信息</t>
        </is>
      </c>
    </row>
    <row r="8">
      <c r="A8" s="6" t="inlineStr">
        <is>
          <t>受控写入工具</t>
        </is>
      </c>
      <c r="B8" s="6">
        <f>COUNTIF(工具目录!D4:D100,"受控写入")</f>
        <v/>
      </c>
      <c r="C8" s="6" t="inlineStr">
        <is>
          <t>-</t>
        </is>
      </c>
      <c r="D8" s="6" t="inlineStr">
        <is>
          <t>信息</t>
        </is>
      </c>
    </row>
    <row r="9">
      <c r="A9" s="7" t="inlineStr">
        <is>
          <t>错误码数量</t>
        </is>
      </c>
      <c r="B9" s="7">
        <f>COUNTA(错误码!A4:A100)</f>
        <v/>
      </c>
      <c r="C9" s="7" t="n">
        <v>17</v>
      </c>
      <c r="D9" s="7">
        <f>IF(B9=C9,"通过","不通过")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2026-07-31T03:41:09Z</dcterms:created>
  <dcterms:modified xmlns:dcterms="http://purl.org/dc/terms/" xmlns:xsi="http://www.w3.org/2001/XMLSchema-instance" xsi:type="dcterms:W3CDTF">2026-07-31T03:41:09Z</dcterms:modified>
</cp:coreProperties>
</file>